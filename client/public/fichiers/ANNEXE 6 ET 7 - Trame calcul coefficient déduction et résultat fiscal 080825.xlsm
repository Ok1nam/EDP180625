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219295cocerto-my.sharepoint.com/personal/lgombaud_cocerto_fr/Documents/SAUVEGARDE LOCAL LG/MEMOIRE DEC/MEMOIRE/ANNEXE/ANNEXE 6 7 COEFF TVA + RESULTAT FISCAL/"/>
    </mc:Choice>
  </mc:AlternateContent>
  <xr:revisionPtr revIDLastSave="117" documentId="13_ncr:1_{F27519E5-654D-496C-A06F-CB6BFF75DCBF}" xr6:coauthVersionLast="47" xr6:coauthVersionMax="47" xr10:uidLastSave="{DE8F49D1-0107-4D75-B050-618C0A42D428}"/>
  <bookViews>
    <workbookView xWindow="-120" yWindow="-120" windowWidth="29040" windowHeight="17520" tabRatio="772" xr2:uid="{00000000-000D-0000-FFFF-FFFF00000000}"/>
  </bookViews>
  <sheets>
    <sheet name="📘 Notice" sheetId="3" r:id="rId1"/>
    <sheet name="📄 Exemple PCG" sheetId="1" r:id="rId2"/>
    <sheet name="🧱 Plan comptable source" sheetId="9" r:id="rId3"/>
    <sheet name="⚖️ Balance à importer" sheetId="7" r:id="rId4"/>
    <sheet name="➗ Coefficient de déduction" sheetId="10" r:id="rId5"/>
    <sheet name="💶 Coefficient taxe salaire" sheetId="11" r:id="rId6"/>
    <sheet name="📈 Résultat Fiscal - Corrigé" sheetId="6" r:id="rId7"/>
  </sheets>
  <definedNames>
    <definedName name="_xleta.NOT" hidden="1" xlm="1">#NAME?</definedName>
    <definedName name="LISTEDOMAIN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5" i="11" l="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5" i="11"/>
  <c r="D674" i="11"/>
  <c r="D673" i="11"/>
  <c r="D672" i="11"/>
  <c r="D671" i="11"/>
  <c r="D670" i="11"/>
  <c r="D669" i="11"/>
  <c r="D668" i="11"/>
  <c r="D667" i="11"/>
  <c r="D666" i="11"/>
  <c r="D665" i="11"/>
  <c r="D664" i="11"/>
  <c r="D663" i="11"/>
  <c r="D662" i="11"/>
  <c r="D661" i="11"/>
  <c r="D660" i="11"/>
  <c r="D659" i="11"/>
  <c r="D658" i="11"/>
  <c r="D657" i="11"/>
  <c r="D656" i="11"/>
  <c r="D655" i="11"/>
  <c r="D654" i="11"/>
  <c r="D653" i="11"/>
  <c r="D652" i="11"/>
  <c r="D651" i="11"/>
  <c r="D650" i="11"/>
  <c r="D649" i="11"/>
  <c r="D648" i="11"/>
  <c r="D647" i="11"/>
  <c r="D646" i="11"/>
  <c r="D645" i="11"/>
  <c r="D644" i="11"/>
  <c r="D643" i="11"/>
  <c r="D642" i="11"/>
  <c r="D641" i="11"/>
  <c r="D640" i="11"/>
  <c r="D639" i="11"/>
  <c r="D638" i="11"/>
  <c r="D637" i="11"/>
  <c r="D636" i="11"/>
  <c r="D635" i="11"/>
  <c r="D634" i="11"/>
  <c r="D633" i="11"/>
  <c r="D632" i="11"/>
  <c r="D631" i="11"/>
  <c r="D630" i="11"/>
  <c r="D629" i="11"/>
  <c r="D628" i="11"/>
  <c r="D627" i="11"/>
  <c r="D626" i="11"/>
  <c r="D625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7" i="11"/>
  <c r="D606" i="11"/>
  <c r="D605" i="11"/>
  <c r="D604" i="11"/>
  <c r="D603" i="11"/>
  <c r="D602" i="11"/>
  <c r="D601" i="11"/>
  <c r="D600" i="11"/>
  <c r="D599" i="11"/>
  <c r="D598" i="11"/>
  <c r="D597" i="11"/>
  <c r="D596" i="11"/>
  <c r="D595" i="11"/>
  <c r="D594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A15" i="11" a="1"/>
  <c r="A15" i="11" s="1"/>
  <c r="D10" i="11"/>
  <c r="D10" i="10"/>
  <c r="C45" i="10"/>
  <c r="C46" i="10"/>
  <c r="C47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8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9" i="10"/>
  <c r="D248" i="10"/>
  <c r="D247" i="10"/>
  <c r="D246" i="10"/>
  <c r="D245" i="10"/>
  <c r="D244" i="10"/>
  <c r="D243" i="10"/>
  <c r="D242" i="10"/>
  <c r="D241" i="10"/>
  <c r="D240" i="10"/>
  <c r="D239" i="10"/>
  <c r="D238" i="10"/>
  <c r="D237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D184" i="10"/>
  <c r="D183" i="10"/>
  <c r="D182" i="10"/>
  <c r="D181" i="10"/>
  <c r="D180" i="10"/>
  <c r="D179" i="10"/>
  <c r="D178" i="10"/>
  <c r="D177" i="10"/>
  <c r="D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D147" i="10"/>
  <c r="D146" i="10"/>
  <c r="D145" i="10"/>
  <c r="D144" i="10"/>
  <c r="D143" i="10"/>
  <c r="D142" i="10"/>
  <c r="D141" i="10"/>
  <c r="D140" i="10"/>
  <c r="D139" i="10"/>
  <c r="D138" i="10"/>
  <c r="D137" i="10"/>
  <c r="D136" i="10"/>
  <c r="D135" i="10"/>
  <c r="D134" i="10"/>
  <c r="D133" i="10"/>
  <c r="D132" i="10"/>
  <c r="D13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B48" i="10"/>
  <c r="D47" i="10"/>
  <c r="B47" i="10"/>
  <c r="D46" i="10"/>
  <c r="B46" i="10"/>
  <c r="D45" i="10"/>
  <c r="B45" i="10"/>
  <c r="A15" i="10" a="1"/>
  <c r="D84" i="1"/>
  <c r="E84" i="1"/>
  <c r="D85" i="1"/>
  <c r="E85" i="1"/>
  <c r="D86" i="1"/>
  <c r="E86" i="1"/>
  <c r="D72" i="1"/>
  <c r="E72" i="1"/>
  <c r="D74" i="1"/>
  <c r="E74" i="1"/>
  <c r="D75" i="1"/>
  <c r="E75" i="1"/>
  <c r="D70" i="1"/>
  <c r="E70" i="1"/>
  <c r="D71" i="1"/>
  <c r="E71" i="1"/>
  <c r="D55" i="1"/>
  <c r="E55" i="1"/>
  <c r="D56" i="1"/>
  <c r="E56" i="1"/>
  <c r="D57" i="1"/>
  <c r="E57" i="1"/>
  <c r="D5" i="1"/>
  <c r="E5" i="1"/>
  <c r="D77" i="1"/>
  <c r="E77" i="1"/>
  <c r="D78" i="1"/>
  <c r="E78" i="1"/>
  <c r="D62" i="1"/>
  <c r="E62" i="1"/>
  <c r="D63" i="1"/>
  <c r="E63" i="1"/>
  <c r="D64" i="1"/>
  <c r="E64" i="1"/>
  <c r="D65" i="1"/>
  <c r="E65" i="1"/>
  <c r="D82" i="1"/>
  <c r="E82" i="1"/>
  <c r="D94" i="1"/>
  <c r="E94" i="1"/>
  <c r="D95" i="1"/>
  <c r="E95" i="1"/>
  <c r="D96" i="1"/>
  <c r="E96" i="1"/>
  <c r="D87" i="1"/>
  <c r="E87" i="1"/>
  <c r="D88" i="1"/>
  <c r="E88" i="1"/>
  <c r="D89" i="1"/>
  <c r="E89" i="1"/>
  <c r="D92" i="1"/>
  <c r="E92" i="1"/>
  <c r="D81" i="1"/>
  <c r="E81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8" i="1"/>
  <c r="E58" i="1"/>
  <c r="D59" i="1"/>
  <c r="E59" i="1"/>
  <c r="D60" i="1"/>
  <c r="E60" i="1"/>
  <c r="D61" i="1"/>
  <c r="E61" i="1"/>
  <c r="D66" i="1"/>
  <c r="E66" i="1"/>
  <c r="D67" i="1"/>
  <c r="E67" i="1"/>
  <c r="D68" i="1"/>
  <c r="E68" i="1"/>
  <c r="D69" i="1"/>
  <c r="E69" i="1"/>
  <c r="D73" i="1"/>
  <c r="E73" i="1"/>
  <c r="D76" i="1"/>
  <c r="E76" i="1"/>
  <c r="D79" i="1"/>
  <c r="E79" i="1"/>
  <c r="D80" i="1"/>
  <c r="E80" i="1"/>
  <c r="D83" i="1"/>
  <c r="E83" i="1"/>
  <c r="D90" i="1"/>
  <c r="E90" i="1"/>
  <c r="D91" i="1"/>
  <c r="E91" i="1"/>
  <c r="D93" i="1"/>
  <c r="E93" i="1"/>
  <c r="D97" i="1"/>
  <c r="E97" i="1"/>
  <c r="D4" i="1"/>
  <c r="E4" i="1"/>
  <c r="D6" i="1"/>
  <c r="E6" i="1"/>
  <c r="D7" i="1"/>
  <c r="E7" i="1"/>
  <c r="D8" i="1"/>
  <c r="E8" i="1"/>
  <c r="D9" i="1"/>
  <c r="E9" i="1"/>
  <c r="E3" i="1"/>
  <c r="D3" i="1"/>
  <c r="B25" i="6"/>
  <c r="C25" i="6"/>
  <c r="D15" i="11" l="1"/>
  <c r="C15" i="11"/>
  <c r="B15" i="11"/>
  <c r="C16" i="10"/>
  <c r="C44" i="10"/>
  <c r="D44" i="10"/>
  <c r="B44" i="10"/>
  <c r="D29" i="10"/>
  <c r="B30" i="10"/>
  <c r="D42" i="10"/>
  <c r="B43" i="10"/>
  <c r="B28" i="10"/>
  <c r="C39" i="10"/>
  <c r="C29" i="10"/>
  <c r="B31" i="10"/>
  <c r="B18" i="10"/>
  <c r="D31" i="10"/>
  <c r="D18" i="10"/>
  <c r="B36" i="10"/>
  <c r="C43" i="10"/>
  <c r="B20" i="10"/>
  <c r="D36" i="10"/>
  <c r="C42" i="10"/>
  <c r="D20" i="10"/>
  <c r="B37" i="10"/>
  <c r="C40" i="10"/>
  <c r="B21" i="10"/>
  <c r="D38" i="10"/>
  <c r="D21" i="10"/>
  <c r="B39" i="10"/>
  <c r="C37" i="10"/>
  <c r="B22" i="10"/>
  <c r="D39" i="10"/>
  <c r="C36" i="10"/>
  <c r="D22" i="10"/>
  <c r="B40" i="10"/>
  <c r="B27" i="10"/>
  <c r="D40" i="10"/>
  <c r="C28" i="10"/>
  <c r="D27" i="10"/>
  <c r="B42" i="10"/>
  <c r="C26" i="10"/>
  <c r="C25" i="10"/>
  <c r="C23" i="10"/>
  <c r="C22" i="10"/>
  <c r="C41" i="10"/>
  <c r="C27" i="10"/>
  <c r="C38" i="10"/>
  <c r="C24" i="10"/>
  <c r="C35" i="10"/>
  <c r="C21" i="10"/>
  <c r="D30" i="10"/>
  <c r="D43" i="10"/>
  <c r="C34" i="10"/>
  <c r="C20" i="10"/>
  <c r="C33" i="10"/>
  <c r="C19" i="10"/>
  <c r="C32" i="10"/>
  <c r="C18" i="10"/>
  <c r="C31" i="10"/>
  <c r="C17" i="10"/>
  <c r="C30" i="10"/>
  <c r="D35" i="10"/>
  <c r="D26" i="10"/>
  <c r="D17" i="10"/>
  <c r="B34" i="10"/>
  <c r="B16" i="10"/>
  <c r="D32" i="10"/>
  <c r="B23" i="10"/>
  <c r="B32" i="10"/>
  <c r="B41" i="10"/>
  <c r="D24" i="10"/>
  <c r="D41" i="10"/>
  <c r="B25" i="10"/>
  <c r="D16" i="10"/>
  <c r="D25" i="10"/>
  <c r="D34" i="10"/>
  <c r="B17" i="10"/>
  <c r="B26" i="10"/>
  <c r="B35" i="10"/>
  <c r="B19" i="10"/>
  <c r="D23" i="10"/>
  <c r="B33" i="10"/>
  <c r="D37" i="10"/>
  <c r="A15" i="10"/>
  <c r="C15" i="10" s="1"/>
  <c r="B24" i="10"/>
  <c r="D28" i="10"/>
  <c r="B38" i="10"/>
  <c r="D19" i="10"/>
  <c r="B29" i="10"/>
  <c r="D33" i="10"/>
  <c r="B4" i="6"/>
  <c r="G18" i="7"/>
  <c r="F31" i="7"/>
  <c r="G31" i="7"/>
  <c r="F33" i="7"/>
  <c r="F40" i="7"/>
  <c r="G46" i="7"/>
  <c r="F47" i="7"/>
  <c r="F50" i="7"/>
  <c r="F54" i="7"/>
  <c r="F61" i="7"/>
  <c r="G65" i="7"/>
  <c r="F66" i="7"/>
  <c r="F68" i="7"/>
  <c r="F73" i="7"/>
  <c r="F75" i="7"/>
  <c r="G78" i="7"/>
  <c r="F79" i="7"/>
  <c r="F84" i="7"/>
  <c r="G84" i="7"/>
  <c r="F85" i="7"/>
  <c r="G85" i="7"/>
  <c r="F86" i="7"/>
  <c r="G86" i="7"/>
  <c r="F87" i="7"/>
  <c r="G87" i="7"/>
  <c r="F88" i="7"/>
  <c r="G88" i="7"/>
  <c r="F89" i="7"/>
  <c r="G89" i="7"/>
  <c r="F90" i="7"/>
  <c r="G90" i="7"/>
  <c r="F91" i="7"/>
  <c r="G91" i="7"/>
  <c r="F92" i="7"/>
  <c r="G92" i="7"/>
  <c r="F93" i="7"/>
  <c r="G93" i="7"/>
  <c r="F94" i="7"/>
  <c r="G94" i="7"/>
  <c r="F95" i="7"/>
  <c r="G95" i="7"/>
  <c r="F96" i="7"/>
  <c r="G96" i="7"/>
  <c r="F97" i="7"/>
  <c r="G97" i="7"/>
  <c r="F98" i="7"/>
  <c r="G98" i="7"/>
  <c r="F99" i="7"/>
  <c r="G99" i="7"/>
  <c r="F100" i="7"/>
  <c r="G100" i="7"/>
  <c r="F101" i="7"/>
  <c r="G101" i="7"/>
  <c r="F102" i="7"/>
  <c r="G102" i="7"/>
  <c r="F103" i="7"/>
  <c r="G103" i="7"/>
  <c r="F104" i="7"/>
  <c r="G104" i="7"/>
  <c r="F105" i="7"/>
  <c r="G105" i="7"/>
  <c r="F106" i="7"/>
  <c r="G106" i="7"/>
  <c r="F107" i="7"/>
  <c r="G107" i="7"/>
  <c r="F108" i="7"/>
  <c r="G108" i="7"/>
  <c r="F109" i="7"/>
  <c r="G109" i="7"/>
  <c r="F110" i="7"/>
  <c r="G110" i="7"/>
  <c r="F111" i="7"/>
  <c r="G111" i="7"/>
  <c r="F112" i="7"/>
  <c r="G112" i="7"/>
  <c r="F113" i="7"/>
  <c r="G113" i="7"/>
  <c r="F114" i="7"/>
  <c r="G114" i="7"/>
  <c r="F115" i="7"/>
  <c r="G115" i="7"/>
  <c r="F116" i="7"/>
  <c r="G116" i="7"/>
  <c r="F117" i="7"/>
  <c r="G117" i="7"/>
  <c r="F118" i="7"/>
  <c r="G118" i="7"/>
  <c r="F119" i="7"/>
  <c r="G119" i="7"/>
  <c r="F120" i="7"/>
  <c r="G120" i="7"/>
  <c r="F121" i="7"/>
  <c r="G121" i="7"/>
  <c r="F122" i="7"/>
  <c r="G122" i="7"/>
  <c r="F123" i="7"/>
  <c r="G123" i="7"/>
  <c r="F124" i="7"/>
  <c r="G124" i="7"/>
  <c r="F125" i="7"/>
  <c r="G125" i="7"/>
  <c r="F126" i="7"/>
  <c r="G126" i="7"/>
  <c r="F127" i="7"/>
  <c r="G127" i="7"/>
  <c r="F128" i="7"/>
  <c r="G128" i="7"/>
  <c r="F129" i="7"/>
  <c r="G129" i="7"/>
  <c r="F130" i="7"/>
  <c r="G130" i="7"/>
  <c r="F131" i="7"/>
  <c r="G131" i="7"/>
  <c r="F132" i="7"/>
  <c r="G132" i="7"/>
  <c r="F133" i="7"/>
  <c r="G133" i="7"/>
  <c r="F134" i="7"/>
  <c r="G134" i="7"/>
  <c r="F135" i="7"/>
  <c r="G135" i="7"/>
  <c r="F136" i="7"/>
  <c r="G136" i="7"/>
  <c r="F137" i="7"/>
  <c r="G137" i="7"/>
  <c r="F138" i="7"/>
  <c r="G138" i="7"/>
  <c r="F139" i="7"/>
  <c r="G139" i="7"/>
  <c r="F140" i="7"/>
  <c r="G140" i="7"/>
  <c r="F141" i="7"/>
  <c r="G141" i="7"/>
  <c r="F142" i="7"/>
  <c r="G142" i="7"/>
  <c r="F143" i="7"/>
  <c r="G143" i="7"/>
  <c r="F144" i="7"/>
  <c r="G144" i="7"/>
  <c r="F145" i="7"/>
  <c r="G145" i="7"/>
  <c r="F146" i="7"/>
  <c r="G146" i="7"/>
  <c r="F147" i="7"/>
  <c r="G147" i="7"/>
  <c r="F148" i="7"/>
  <c r="G148" i="7"/>
  <c r="F149" i="7"/>
  <c r="G149" i="7"/>
  <c r="F150" i="7"/>
  <c r="G150" i="7"/>
  <c r="F151" i="7"/>
  <c r="G151" i="7"/>
  <c r="F152" i="7"/>
  <c r="G152" i="7"/>
  <c r="F153" i="7"/>
  <c r="G153" i="7"/>
  <c r="F154" i="7"/>
  <c r="G154" i="7"/>
  <c r="F155" i="7"/>
  <c r="G155" i="7"/>
  <c r="F156" i="7"/>
  <c r="G156" i="7"/>
  <c r="F157" i="7"/>
  <c r="G157" i="7"/>
  <c r="F158" i="7"/>
  <c r="G158" i="7"/>
  <c r="F159" i="7"/>
  <c r="G159" i="7"/>
  <c r="F160" i="7"/>
  <c r="G160" i="7"/>
  <c r="F161" i="7"/>
  <c r="G161" i="7"/>
  <c r="F162" i="7"/>
  <c r="G162" i="7"/>
  <c r="F163" i="7"/>
  <c r="G163" i="7"/>
  <c r="F164" i="7"/>
  <c r="G164" i="7"/>
  <c r="F165" i="7"/>
  <c r="G165" i="7"/>
  <c r="F166" i="7"/>
  <c r="G166" i="7"/>
  <c r="F167" i="7"/>
  <c r="G167" i="7"/>
  <c r="F168" i="7"/>
  <c r="G168" i="7"/>
  <c r="F169" i="7"/>
  <c r="G169" i="7"/>
  <c r="F170" i="7"/>
  <c r="G170" i="7"/>
  <c r="F171" i="7"/>
  <c r="G171" i="7"/>
  <c r="F172" i="7"/>
  <c r="G172" i="7"/>
  <c r="F173" i="7"/>
  <c r="G173" i="7"/>
  <c r="F174" i="7"/>
  <c r="G174" i="7"/>
  <c r="F175" i="7"/>
  <c r="G175" i="7"/>
  <c r="F176" i="7"/>
  <c r="G176" i="7"/>
  <c r="F177" i="7"/>
  <c r="G177" i="7"/>
  <c r="F178" i="7"/>
  <c r="G178" i="7"/>
  <c r="F179" i="7"/>
  <c r="G179" i="7"/>
  <c r="F180" i="7"/>
  <c r="G180" i="7"/>
  <c r="F181" i="7"/>
  <c r="G181" i="7"/>
  <c r="F182" i="7"/>
  <c r="G182" i="7"/>
  <c r="F183" i="7"/>
  <c r="G183" i="7"/>
  <c r="F184" i="7"/>
  <c r="G184" i="7"/>
  <c r="F185" i="7"/>
  <c r="G185" i="7"/>
  <c r="F186" i="7"/>
  <c r="G186" i="7"/>
  <c r="F187" i="7"/>
  <c r="G187" i="7"/>
  <c r="F188" i="7"/>
  <c r="G188" i="7"/>
  <c r="F189" i="7"/>
  <c r="G189" i="7"/>
  <c r="F190" i="7"/>
  <c r="G190" i="7"/>
  <c r="F191" i="7"/>
  <c r="G191" i="7"/>
  <c r="F192" i="7"/>
  <c r="G192" i="7"/>
  <c r="F193" i="7"/>
  <c r="G193" i="7"/>
  <c r="F194" i="7"/>
  <c r="G194" i="7"/>
  <c r="F195" i="7"/>
  <c r="G195" i="7"/>
  <c r="F196" i="7"/>
  <c r="G196" i="7"/>
  <c r="F197" i="7"/>
  <c r="G197" i="7"/>
  <c r="F198" i="7"/>
  <c r="G198" i="7"/>
  <c r="F199" i="7"/>
  <c r="G199" i="7"/>
  <c r="F200" i="7"/>
  <c r="G200" i="7"/>
  <c r="F201" i="7"/>
  <c r="G201" i="7"/>
  <c r="F202" i="7"/>
  <c r="G202" i="7"/>
  <c r="F203" i="7"/>
  <c r="G203" i="7"/>
  <c r="F204" i="7"/>
  <c r="G204" i="7"/>
  <c r="F205" i="7"/>
  <c r="G205" i="7"/>
  <c r="F206" i="7"/>
  <c r="G206" i="7"/>
  <c r="F207" i="7"/>
  <c r="G207" i="7"/>
  <c r="F208" i="7"/>
  <c r="G208" i="7"/>
  <c r="F209" i="7"/>
  <c r="G209" i="7"/>
  <c r="F210" i="7"/>
  <c r="G210" i="7"/>
  <c r="F211" i="7"/>
  <c r="G211" i="7"/>
  <c r="F212" i="7"/>
  <c r="G212" i="7"/>
  <c r="F213" i="7"/>
  <c r="G213" i="7"/>
  <c r="F214" i="7"/>
  <c r="G214" i="7"/>
  <c r="F215" i="7"/>
  <c r="G215" i="7"/>
  <c r="F216" i="7"/>
  <c r="G216" i="7"/>
  <c r="F217" i="7"/>
  <c r="G217" i="7"/>
  <c r="F218" i="7"/>
  <c r="G218" i="7"/>
  <c r="F219" i="7"/>
  <c r="G219" i="7"/>
  <c r="F220" i="7"/>
  <c r="G220" i="7"/>
  <c r="F221" i="7"/>
  <c r="G221" i="7"/>
  <c r="F222" i="7"/>
  <c r="G222" i="7"/>
  <c r="F223" i="7"/>
  <c r="G223" i="7"/>
  <c r="F224" i="7"/>
  <c r="G224" i="7"/>
  <c r="F225" i="7"/>
  <c r="G225" i="7"/>
  <c r="F226" i="7"/>
  <c r="G226" i="7"/>
  <c r="F227" i="7"/>
  <c r="G227" i="7"/>
  <c r="F228" i="7"/>
  <c r="G228" i="7"/>
  <c r="F229" i="7"/>
  <c r="G229" i="7"/>
  <c r="F230" i="7"/>
  <c r="G230" i="7"/>
  <c r="F231" i="7"/>
  <c r="G231" i="7"/>
  <c r="F232" i="7"/>
  <c r="G232" i="7"/>
  <c r="F233" i="7"/>
  <c r="G233" i="7"/>
  <c r="F234" i="7"/>
  <c r="G234" i="7"/>
  <c r="F235" i="7"/>
  <c r="G235" i="7"/>
  <c r="F236" i="7"/>
  <c r="G236" i="7"/>
  <c r="F237" i="7"/>
  <c r="G237" i="7"/>
  <c r="F238" i="7"/>
  <c r="G238" i="7"/>
  <c r="F239" i="7"/>
  <c r="G239" i="7"/>
  <c r="F240" i="7"/>
  <c r="G240" i="7"/>
  <c r="F241" i="7"/>
  <c r="G241" i="7"/>
  <c r="F242" i="7"/>
  <c r="G242" i="7"/>
  <c r="F243" i="7"/>
  <c r="G243" i="7"/>
  <c r="F244" i="7"/>
  <c r="G244" i="7"/>
  <c r="F245" i="7"/>
  <c r="G245" i="7"/>
  <c r="F246" i="7"/>
  <c r="G246" i="7"/>
  <c r="F247" i="7"/>
  <c r="G247" i="7"/>
  <c r="F248" i="7"/>
  <c r="G248" i="7"/>
  <c r="F249" i="7"/>
  <c r="G249" i="7"/>
  <c r="F250" i="7"/>
  <c r="G250" i="7"/>
  <c r="F251" i="7"/>
  <c r="G251" i="7"/>
  <c r="F252" i="7"/>
  <c r="G252" i="7"/>
  <c r="F253" i="7"/>
  <c r="G253" i="7"/>
  <c r="F254" i="7"/>
  <c r="G254" i="7"/>
  <c r="F255" i="7"/>
  <c r="G255" i="7"/>
  <c r="F256" i="7"/>
  <c r="G256" i="7"/>
  <c r="F257" i="7"/>
  <c r="G257" i="7"/>
  <c r="F258" i="7"/>
  <c r="G258" i="7"/>
  <c r="F259" i="7"/>
  <c r="G259" i="7"/>
  <c r="F260" i="7"/>
  <c r="G260" i="7"/>
  <c r="F261" i="7"/>
  <c r="G261" i="7"/>
  <c r="F262" i="7"/>
  <c r="G262" i="7"/>
  <c r="F263" i="7"/>
  <c r="G263" i="7"/>
  <c r="F264" i="7"/>
  <c r="G264" i="7"/>
  <c r="F265" i="7"/>
  <c r="G265" i="7"/>
  <c r="F266" i="7"/>
  <c r="G266" i="7"/>
  <c r="F267" i="7"/>
  <c r="G267" i="7"/>
  <c r="F268" i="7"/>
  <c r="G268" i="7"/>
  <c r="F269" i="7"/>
  <c r="G269" i="7"/>
  <c r="F270" i="7"/>
  <c r="G270" i="7"/>
  <c r="F271" i="7"/>
  <c r="G271" i="7"/>
  <c r="F272" i="7"/>
  <c r="G272" i="7"/>
  <c r="F273" i="7"/>
  <c r="G273" i="7"/>
  <c r="F274" i="7"/>
  <c r="G274" i="7"/>
  <c r="F275" i="7"/>
  <c r="G275" i="7"/>
  <c r="F276" i="7"/>
  <c r="G276" i="7"/>
  <c r="F277" i="7"/>
  <c r="G277" i="7"/>
  <c r="F278" i="7"/>
  <c r="G278" i="7"/>
  <c r="F279" i="7"/>
  <c r="G279" i="7"/>
  <c r="F280" i="7"/>
  <c r="G280" i="7"/>
  <c r="F281" i="7"/>
  <c r="G281" i="7"/>
  <c r="F282" i="7"/>
  <c r="G282" i="7"/>
  <c r="F283" i="7"/>
  <c r="G283" i="7"/>
  <c r="F284" i="7"/>
  <c r="G284" i="7"/>
  <c r="F285" i="7"/>
  <c r="G285" i="7"/>
  <c r="F286" i="7"/>
  <c r="G286" i="7"/>
  <c r="F287" i="7"/>
  <c r="G287" i="7"/>
  <c r="F288" i="7"/>
  <c r="G288" i="7"/>
  <c r="F289" i="7"/>
  <c r="G289" i="7"/>
  <c r="F290" i="7"/>
  <c r="G290" i="7"/>
  <c r="F291" i="7"/>
  <c r="G291" i="7"/>
  <c r="F292" i="7"/>
  <c r="G292" i="7"/>
  <c r="F293" i="7"/>
  <c r="G293" i="7"/>
  <c r="F294" i="7"/>
  <c r="G294" i="7"/>
  <c r="F295" i="7"/>
  <c r="G295" i="7"/>
  <c r="F296" i="7"/>
  <c r="G296" i="7"/>
  <c r="F297" i="7"/>
  <c r="G297" i="7"/>
  <c r="F298" i="7"/>
  <c r="G298" i="7"/>
  <c r="F299" i="7"/>
  <c r="G299" i="7"/>
  <c r="F300" i="7"/>
  <c r="G300" i="7"/>
  <c r="F301" i="7"/>
  <c r="G301" i="7"/>
  <c r="F302" i="7"/>
  <c r="G302" i="7"/>
  <c r="F303" i="7"/>
  <c r="G303" i="7"/>
  <c r="F304" i="7"/>
  <c r="G304" i="7"/>
  <c r="F305" i="7"/>
  <c r="G305" i="7"/>
  <c r="F306" i="7"/>
  <c r="G306" i="7"/>
  <c r="F307" i="7"/>
  <c r="G307" i="7"/>
  <c r="F308" i="7"/>
  <c r="G308" i="7"/>
  <c r="F309" i="7"/>
  <c r="G309" i="7"/>
  <c r="F310" i="7"/>
  <c r="G310" i="7"/>
  <c r="F311" i="7"/>
  <c r="G311" i="7"/>
  <c r="F312" i="7"/>
  <c r="G312" i="7"/>
  <c r="F313" i="7"/>
  <c r="G313" i="7"/>
  <c r="F314" i="7"/>
  <c r="G314" i="7"/>
  <c r="F315" i="7"/>
  <c r="G315" i="7"/>
  <c r="F316" i="7"/>
  <c r="G316" i="7"/>
  <c r="F317" i="7"/>
  <c r="G317" i="7"/>
  <c r="F318" i="7"/>
  <c r="G318" i="7"/>
  <c r="F319" i="7"/>
  <c r="G319" i="7"/>
  <c r="F320" i="7"/>
  <c r="G320" i="7"/>
  <c r="F321" i="7"/>
  <c r="G321" i="7"/>
  <c r="F322" i="7"/>
  <c r="G322" i="7"/>
  <c r="F323" i="7"/>
  <c r="G323" i="7"/>
  <c r="F324" i="7"/>
  <c r="G324" i="7"/>
  <c r="F325" i="7"/>
  <c r="G325" i="7"/>
  <c r="F326" i="7"/>
  <c r="G326" i="7"/>
  <c r="F327" i="7"/>
  <c r="G327" i="7"/>
  <c r="F328" i="7"/>
  <c r="G328" i="7"/>
  <c r="F329" i="7"/>
  <c r="G329" i="7"/>
  <c r="F330" i="7"/>
  <c r="G330" i="7"/>
  <c r="F331" i="7"/>
  <c r="G331" i="7"/>
  <c r="F332" i="7"/>
  <c r="G332" i="7"/>
  <c r="F333" i="7"/>
  <c r="G333" i="7"/>
  <c r="F334" i="7"/>
  <c r="G334" i="7"/>
  <c r="F335" i="7"/>
  <c r="G335" i="7"/>
  <c r="F336" i="7"/>
  <c r="G336" i="7"/>
  <c r="F337" i="7"/>
  <c r="G337" i="7"/>
  <c r="F338" i="7"/>
  <c r="G338" i="7"/>
  <c r="F339" i="7"/>
  <c r="G339" i="7"/>
  <c r="F340" i="7"/>
  <c r="G340" i="7"/>
  <c r="F341" i="7"/>
  <c r="G341" i="7"/>
  <c r="F342" i="7"/>
  <c r="G342" i="7"/>
  <c r="F343" i="7"/>
  <c r="G343" i="7"/>
  <c r="F344" i="7"/>
  <c r="G344" i="7"/>
  <c r="F345" i="7"/>
  <c r="G345" i="7"/>
  <c r="F346" i="7"/>
  <c r="G346" i="7"/>
  <c r="F347" i="7"/>
  <c r="G347" i="7"/>
  <c r="F348" i="7"/>
  <c r="G348" i="7"/>
  <c r="F349" i="7"/>
  <c r="G349" i="7"/>
  <c r="F350" i="7"/>
  <c r="G350" i="7"/>
  <c r="F351" i="7"/>
  <c r="G351" i="7"/>
  <c r="F352" i="7"/>
  <c r="G352" i="7"/>
  <c r="F353" i="7"/>
  <c r="G353" i="7"/>
  <c r="F354" i="7"/>
  <c r="G354" i="7"/>
  <c r="F355" i="7"/>
  <c r="G355" i="7"/>
  <c r="F356" i="7"/>
  <c r="G356" i="7"/>
  <c r="F357" i="7"/>
  <c r="G357" i="7"/>
  <c r="F358" i="7"/>
  <c r="G358" i="7"/>
  <c r="F359" i="7"/>
  <c r="G359" i="7"/>
  <c r="F360" i="7"/>
  <c r="G360" i="7"/>
  <c r="F361" i="7"/>
  <c r="G361" i="7"/>
  <c r="F362" i="7"/>
  <c r="G362" i="7"/>
  <c r="F363" i="7"/>
  <c r="G363" i="7"/>
  <c r="F364" i="7"/>
  <c r="G364" i="7"/>
  <c r="F365" i="7"/>
  <c r="G365" i="7"/>
  <c r="F366" i="7"/>
  <c r="G366" i="7"/>
  <c r="F367" i="7"/>
  <c r="G367" i="7"/>
  <c r="F368" i="7"/>
  <c r="G368" i="7"/>
  <c r="F369" i="7"/>
  <c r="G369" i="7"/>
  <c r="F370" i="7"/>
  <c r="G370" i="7"/>
  <c r="F371" i="7"/>
  <c r="G371" i="7"/>
  <c r="F372" i="7"/>
  <c r="G372" i="7"/>
  <c r="F373" i="7"/>
  <c r="G373" i="7"/>
  <c r="F374" i="7"/>
  <c r="G374" i="7"/>
  <c r="F375" i="7"/>
  <c r="G375" i="7"/>
  <c r="F376" i="7"/>
  <c r="G376" i="7"/>
  <c r="F377" i="7"/>
  <c r="G377" i="7"/>
  <c r="F378" i="7"/>
  <c r="G378" i="7"/>
  <c r="F379" i="7"/>
  <c r="G379" i="7"/>
  <c r="F380" i="7"/>
  <c r="G380" i="7"/>
  <c r="F381" i="7"/>
  <c r="G381" i="7"/>
  <c r="F382" i="7"/>
  <c r="G382" i="7"/>
  <c r="F383" i="7"/>
  <c r="G383" i="7"/>
  <c r="F384" i="7"/>
  <c r="G384" i="7"/>
  <c r="F385" i="7"/>
  <c r="G385" i="7"/>
  <c r="F386" i="7"/>
  <c r="G386" i="7"/>
  <c r="F387" i="7"/>
  <c r="G387" i="7"/>
  <c r="F388" i="7"/>
  <c r="G388" i="7"/>
  <c r="F389" i="7"/>
  <c r="G389" i="7"/>
  <c r="F390" i="7"/>
  <c r="G390" i="7"/>
  <c r="F391" i="7"/>
  <c r="G391" i="7"/>
  <c r="F392" i="7"/>
  <c r="G392" i="7"/>
  <c r="F393" i="7"/>
  <c r="G393" i="7"/>
  <c r="F394" i="7"/>
  <c r="G394" i="7"/>
  <c r="F395" i="7"/>
  <c r="G395" i="7"/>
  <c r="F396" i="7"/>
  <c r="G396" i="7"/>
  <c r="F397" i="7"/>
  <c r="G397" i="7"/>
  <c r="F398" i="7"/>
  <c r="G398" i="7"/>
  <c r="F399" i="7"/>
  <c r="G399" i="7"/>
  <c r="F400" i="7"/>
  <c r="G400" i="7"/>
  <c r="F401" i="7"/>
  <c r="G401" i="7"/>
  <c r="F402" i="7"/>
  <c r="G402" i="7"/>
  <c r="F403" i="7"/>
  <c r="G403" i="7"/>
  <c r="F404" i="7"/>
  <c r="G404" i="7"/>
  <c r="F405" i="7"/>
  <c r="G405" i="7"/>
  <c r="F406" i="7"/>
  <c r="G406" i="7"/>
  <c r="F407" i="7"/>
  <c r="G407" i="7"/>
  <c r="F408" i="7"/>
  <c r="G408" i="7"/>
  <c r="F409" i="7"/>
  <c r="G409" i="7"/>
  <c r="F410" i="7"/>
  <c r="G410" i="7"/>
  <c r="F411" i="7"/>
  <c r="G411" i="7"/>
  <c r="F412" i="7"/>
  <c r="G412" i="7"/>
  <c r="F413" i="7"/>
  <c r="G413" i="7"/>
  <c r="F414" i="7"/>
  <c r="G414" i="7"/>
  <c r="F415" i="7"/>
  <c r="G415" i="7"/>
  <c r="F416" i="7"/>
  <c r="G416" i="7"/>
  <c r="F417" i="7"/>
  <c r="G417" i="7"/>
  <c r="F418" i="7"/>
  <c r="G418" i="7"/>
  <c r="F419" i="7"/>
  <c r="G419" i="7"/>
  <c r="F420" i="7"/>
  <c r="G420" i="7"/>
  <c r="F421" i="7"/>
  <c r="G421" i="7"/>
  <c r="F422" i="7"/>
  <c r="G422" i="7"/>
  <c r="F423" i="7"/>
  <c r="G423" i="7"/>
  <c r="F424" i="7"/>
  <c r="G424" i="7"/>
  <c r="F425" i="7"/>
  <c r="G425" i="7"/>
  <c r="F426" i="7"/>
  <c r="G426" i="7"/>
  <c r="F427" i="7"/>
  <c r="G427" i="7"/>
  <c r="F428" i="7"/>
  <c r="G428" i="7"/>
  <c r="F429" i="7"/>
  <c r="G429" i="7"/>
  <c r="F430" i="7"/>
  <c r="G430" i="7"/>
  <c r="F431" i="7"/>
  <c r="G431" i="7"/>
  <c r="F432" i="7"/>
  <c r="G432" i="7"/>
  <c r="F433" i="7"/>
  <c r="G433" i="7"/>
  <c r="F434" i="7"/>
  <c r="G434" i="7"/>
  <c r="F435" i="7"/>
  <c r="G435" i="7"/>
  <c r="F436" i="7"/>
  <c r="G436" i="7"/>
  <c r="F437" i="7"/>
  <c r="G437" i="7"/>
  <c r="F438" i="7"/>
  <c r="G438" i="7"/>
  <c r="F439" i="7"/>
  <c r="G439" i="7"/>
  <c r="F440" i="7"/>
  <c r="G440" i="7"/>
  <c r="F441" i="7"/>
  <c r="G441" i="7"/>
  <c r="F442" i="7"/>
  <c r="G442" i="7"/>
  <c r="F443" i="7"/>
  <c r="G443" i="7"/>
  <c r="F444" i="7"/>
  <c r="G444" i="7"/>
  <c r="F445" i="7"/>
  <c r="G445" i="7"/>
  <c r="F446" i="7"/>
  <c r="G446" i="7"/>
  <c r="F447" i="7"/>
  <c r="G447" i="7"/>
  <c r="F448" i="7"/>
  <c r="G448" i="7"/>
  <c r="F449" i="7"/>
  <c r="G449" i="7"/>
  <c r="F450" i="7"/>
  <c r="G450" i="7"/>
  <c r="F451" i="7"/>
  <c r="G451" i="7"/>
  <c r="F452" i="7"/>
  <c r="G452" i="7"/>
  <c r="F453" i="7"/>
  <c r="G453" i="7"/>
  <c r="F454" i="7"/>
  <c r="G454" i="7"/>
  <c r="F455" i="7"/>
  <c r="G455" i="7"/>
  <c r="F456" i="7"/>
  <c r="G456" i="7"/>
  <c r="F457" i="7"/>
  <c r="G457" i="7"/>
  <c r="F458" i="7"/>
  <c r="G458" i="7"/>
  <c r="F459" i="7"/>
  <c r="G459" i="7"/>
  <c r="F460" i="7"/>
  <c r="G460" i="7"/>
  <c r="F461" i="7"/>
  <c r="G461" i="7"/>
  <c r="F462" i="7"/>
  <c r="G462" i="7"/>
  <c r="F463" i="7"/>
  <c r="G463" i="7"/>
  <c r="F464" i="7"/>
  <c r="G464" i="7"/>
  <c r="F465" i="7"/>
  <c r="G465" i="7"/>
  <c r="F466" i="7"/>
  <c r="G466" i="7"/>
  <c r="F467" i="7"/>
  <c r="G467" i="7"/>
  <c r="F468" i="7"/>
  <c r="G468" i="7"/>
  <c r="F469" i="7"/>
  <c r="G469" i="7"/>
  <c r="F470" i="7"/>
  <c r="G470" i="7"/>
  <c r="F471" i="7"/>
  <c r="G471" i="7"/>
  <c r="F472" i="7"/>
  <c r="G472" i="7"/>
  <c r="F473" i="7"/>
  <c r="G473" i="7"/>
  <c r="F474" i="7"/>
  <c r="G474" i="7"/>
  <c r="F475" i="7"/>
  <c r="G475" i="7"/>
  <c r="F476" i="7"/>
  <c r="G476" i="7"/>
  <c r="F477" i="7"/>
  <c r="G477" i="7"/>
  <c r="F478" i="7"/>
  <c r="G478" i="7"/>
  <c r="F479" i="7"/>
  <c r="G479" i="7"/>
  <c r="F480" i="7"/>
  <c r="G480" i="7"/>
  <c r="F481" i="7"/>
  <c r="G481" i="7"/>
  <c r="F482" i="7"/>
  <c r="G482" i="7"/>
  <c r="F483" i="7"/>
  <c r="G483" i="7"/>
  <c r="F484" i="7"/>
  <c r="G484" i="7"/>
  <c r="F485" i="7"/>
  <c r="G485" i="7"/>
  <c r="F486" i="7"/>
  <c r="G486" i="7"/>
  <c r="F487" i="7"/>
  <c r="G487" i="7"/>
  <c r="F488" i="7"/>
  <c r="G488" i="7"/>
  <c r="F489" i="7"/>
  <c r="G489" i="7"/>
  <c r="F490" i="7"/>
  <c r="G490" i="7"/>
  <c r="F491" i="7"/>
  <c r="G491" i="7"/>
  <c r="F492" i="7"/>
  <c r="G492" i="7"/>
  <c r="F493" i="7"/>
  <c r="G493" i="7"/>
  <c r="F494" i="7"/>
  <c r="G494" i="7"/>
  <c r="F495" i="7"/>
  <c r="G495" i="7"/>
  <c r="F496" i="7"/>
  <c r="G496" i="7"/>
  <c r="F497" i="7"/>
  <c r="G497" i="7"/>
  <c r="F498" i="7"/>
  <c r="G498" i="7"/>
  <c r="F499" i="7"/>
  <c r="G499" i="7"/>
  <c r="F500" i="7"/>
  <c r="G500" i="7"/>
  <c r="E5" i="9"/>
  <c r="E502" i="9"/>
  <c r="D502" i="9"/>
  <c r="E501" i="9"/>
  <c r="D501" i="9"/>
  <c r="E500" i="9"/>
  <c r="D500" i="9"/>
  <c r="E499" i="9"/>
  <c r="D499" i="9"/>
  <c r="E498" i="9"/>
  <c r="D498" i="9"/>
  <c r="E497" i="9"/>
  <c r="D497" i="9"/>
  <c r="E496" i="9"/>
  <c r="D496" i="9"/>
  <c r="E495" i="9"/>
  <c r="D495" i="9"/>
  <c r="E494" i="9"/>
  <c r="D494" i="9"/>
  <c r="E493" i="9"/>
  <c r="D493" i="9"/>
  <c r="E492" i="9"/>
  <c r="D492" i="9"/>
  <c r="E491" i="9"/>
  <c r="D491" i="9"/>
  <c r="E490" i="9"/>
  <c r="D490" i="9"/>
  <c r="E489" i="9"/>
  <c r="D489" i="9"/>
  <c r="E488" i="9"/>
  <c r="D488" i="9"/>
  <c r="E487" i="9"/>
  <c r="D487" i="9"/>
  <c r="E486" i="9"/>
  <c r="D486" i="9"/>
  <c r="E485" i="9"/>
  <c r="D485" i="9"/>
  <c r="E484" i="9"/>
  <c r="D484" i="9"/>
  <c r="E483" i="9"/>
  <c r="D483" i="9"/>
  <c r="E482" i="9"/>
  <c r="D482" i="9"/>
  <c r="E481" i="9"/>
  <c r="D481" i="9"/>
  <c r="E480" i="9"/>
  <c r="D480" i="9"/>
  <c r="E479" i="9"/>
  <c r="D479" i="9"/>
  <c r="E478" i="9"/>
  <c r="D478" i="9"/>
  <c r="E477" i="9"/>
  <c r="D477" i="9"/>
  <c r="E476" i="9"/>
  <c r="D476" i="9"/>
  <c r="E475" i="9"/>
  <c r="D475" i="9"/>
  <c r="E474" i="9"/>
  <c r="D474" i="9"/>
  <c r="E473" i="9"/>
  <c r="D473" i="9"/>
  <c r="E472" i="9"/>
  <c r="D472" i="9"/>
  <c r="E471" i="9"/>
  <c r="D471" i="9"/>
  <c r="E470" i="9"/>
  <c r="D470" i="9"/>
  <c r="E469" i="9"/>
  <c r="D469" i="9"/>
  <c r="E468" i="9"/>
  <c r="D468" i="9"/>
  <c r="E467" i="9"/>
  <c r="D467" i="9"/>
  <c r="E466" i="9"/>
  <c r="D466" i="9"/>
  <c r="E465" i="9"/>
  <c r="D465" i="9"/>
  <c r="E464" i="9"/>
  <c r="D464" i="9"/>
  <c r="E463" i="9"/>
  <c r="D463" i="9"/>
  <c r="E462" i="9"/>
  <c r="D462" i="9"/>
  <c r="E461" i="9"/>
  <c r="D461" i="9"/>
  <c r="E460" i="9"/>
  <c r="D460" i="9"/>
  <c r="E459" i="9"/>
  <c r="D459" i="9"/>
  <c r="E458" i="9"/>
  <c r="D458" i="9"/>
  <c r="E457" i="9"/>
  <c r="D457" i="9"/>
  <c r="E456" i="9"/>
  <c r="D456" i="9"/>
  <c r="E455" i="9"/>
  <c r="D455" i="9"/>
  <c r="E454" i="9"/>
  <c r="D454" i="9"/>
  <c r="E453" i="9"/>
  <c r="D453" i="9"/>
  <c r="E452" i="9"/>
  <c r="D452" i="9"/>
  <c r="E451" i="9"/>
  <c r="D451" i="9"/>
  <c r="E450" i="9"/>
  <c r="D450" i="9"/>
  <c r="E449" i="9"/>
  <c r="D449" i="9"/>
  <c r="E448" i="9"/>
  <c r="D448" i="9"/>
  <c r="E447" i="9"/>
  <c r="D447" i="9"/>
  <c r="E446" i="9"/>
  <c r="D446" i="9"/>
  <c r="E445" i="9"/>
  <c r="D445" i="9"/>
  <c r="E444" i="9"/>
  <c r="D444" i="9"/>
  <c r="E443" i="9"/>
  <c r="D443" i="9"/>
  <c r="E442" i="9"/>
  <c r="D442" i="9"/>
  <c r="E441" i="9"/>
  <c r="D441" i="9"/>
  <c r="E440" i="9"/>
  <c r="D440" i="9"/>
  <c r="E439" i="9"/>
  <c r="D439" i="9"/>
  <c r="E438" i="9"/>
  <c r="D438" i="9"/>
  <c r="E437" i="9"/>
  <c r="D437" i="9"/>
  <c r="E436" i="9"/>
  <c r="D436" i="9"/>
  <c r="E435" i="9"/>
  <c r="D435" i="9"/>
  <c r="E434" i="9"/>
  <c r="D434" i="9"/>
  <c r="E433" i="9"/>
  <c r="D433" i="9"/>
  <c r="E432" i="9"/>
  <c r="D432" i="9"/>
  <c r="E431" i="9"/>
  <c r="D431" i="9"/>
  <c r="E430" i="9"/>
  <c r="D430" i="9"/>
  <c r="E429" i="9"/>
  <c r="D429" i="9"/>
  <c r="E428" i="9"/>
  <c r="D428" i="9"/>
  <c r="E427" i="9"/>
  <c r="D427" i="9"/>
  <c r="E426" i="9"/>
  <c r="D426" i="9"/>
  <c r="E425" i="9"/>
  <c r="D425" i="9"/>
  <c r="E424" i="9"/>
  <c r="D424" i="9"/>
  <c r="E423" i="9"/>
  <c r="D423" i="9"/>
  <c r="E422" i="9"/>
  <c r="D422" i="9"/>
  <c r="E421" i="9"/>
  <c r="D421" i="9"/>
  <c r="E420" i="9"/>
  <c r="D420" i="9"/>
  <c r="E419" i="9"/>
  <c r="D419" i="9"/>
  <c r="E418" i="9"/>
  <c r="D418" i="9"/>
  <c r="E417" i="9"/>
  <c r="D417" i="9"/>
  <c r="E416" i="9"/>
  <c r="D416" i="9"/>
  <c r="E415" i="9"/>
  <c r="D415" i="9"/>
  <c r="E414" i="9"/>
  <c r="D414" i="9"/>
  <c r="E413" i="9"/>
  <c r="D413" i="9"/>
  <c r="E412" i="9"/>
  <c r="D412" i="9"/>
  <c r="E411" i="9"/>
  <c r="D411" i="9"/>
  <c r="E410" i="9"/>
  <c r="D410" i="9"/>
  <c r="E409" i="9"/>
  <c r="D409" i="9"/>
  <c r="E408" i="9"/>
  <c r="D408" i="9"/>
  <c r="E407" i="9"/>
  <c r="D407" i="9"/>
  <c r="E406" i="9"/>
  <c r="D406" i="9"/>
  <c r="E405" i="9"/>
  <c r="D405" i="9"/>
  <c r="E404" i="9"/>
  <c r="D404" i="9"/>
  <c r="E403" i="9"/>
  <c r="D403" i="9"/>
  <c r="E402" i="9"/>
  <c r="D402" i="9"/>
  <c r="E401" i="9"/>
  <c r="D401" i="9"/>
  <c r="E400" i="9"/>
  <c r="D400" i="9"/>
  <c r="E399" i="9"/>
  <c r="D399" i="9"/>
  <c r="E398" i="9"/>
  <c r="D398" i="9"/>
  <c r="E397" i="9"/>
  <c r="D397" i="9"/>
  <c r="E396" i="9"/>
  <c r="D396" i="9"/>
  <c r="E395" i="9"/>
  <c r="D395" i="9"/>
  <c r="E394" i="9"/>
  <c r="D394" i="9"/>
  <c r="E393" i="9"/>
  <c r="D393" i="9"/>
  <c r="E392" i="9"/>
  <c r="D392" i="9"/>
  <c r="E391" i="9"/>
  <c r="D391" i="9"/>
  <c r="E390" i="9"/>
  <c r="D390" i="9"/>
  <c r="E389" i="9"/>
  <c r="D389" i="9"/>
  <c r="E388" i="9"/>
  <c r="D388" i="9"/>
  <c r="E387" i="9"/>
  <c r="D387" i="9"/>
  <c r="E386" i="9"/>
  <c r="D386" i="9"/>
  <c r="E385" i="9"/>
  <c r="D385" i="9"/>
  <c r="E384" i="9"/>
  <c r="D384" i="9"/>
  <c r="E383" i="9"/>
  <c r="D383" i="9"/>
  <c r="E382" i="9"/>
  <c r="D382" i="9"/>
  <c r="E381" i="9"/>
  <c r="D381" i="9"/>
  <c r="E380" i="9"/>
  <c r="D380" i="9"/>
  <c r="E379" i="9"/>
  <c r="D379" i="9"/>
  <c r="E378" i="9"/>
  <c r="D378" i="9"/>
  <c r="E377" i="9"/>
  <c r="D377" i="9"/>
  <c r="E376" i="9"/>
  <c r="D376" i="9"/>
  <c r="E375" i="9"/>
  <c r="D375" i="9"/>
  <c r="E374" i="9"/>
  <c r="D374" i="9"/>
  <c r="E373" i="9"/>
  <c r="D373" i="9"/>
  <c r="E372" i="9"/>
  <c r="D372" i="9"/>
  <c r="E371" i="9"/>
  <c r="D371" i="9"/>
  <c r="E370" i="9"/>
  <c r="D370" i="9"/>
  <c r="E369" i="9"/>
  <c r="D369" i="9"/>
  <c r="E368" i="9"/>
  <c r="D368" i="9"/>
  <c r="E367" i="9"/>
  <c r="D367" i="9"/>
  <c r="E366" i="9"/>
  <c r="D366" i="9"/>
  <c r="E365" i="9"/>
  <c r="D365" i="9"/>
  <c r="E364" i="9"/>
  <c r="D364" i="9"/>
  <c r="E363" i="9"/>
  <c r="D363" i="9"/>
  <c r="E362" i="9"/>
  <c r="D362" i="9"/>
  <c r="E361" i="9"/>
  <c r="D361" i="9"/>
  <c r="E360" i="9"/>
  <c r="D360" i="9"/>
  <c r="E359" i="9"/>
  <c r="D359" i="9"/>
  <c r="E358" i="9"/>
  <c r="D358" i="9"/>
  <c r="E357" i="9"/>
  <c r="D357" i="9"/>
  <c r="E356" i="9"/>
  <c r="D356" i="9"/>
  <c r="E355" i="9"/>
  <c r="D355" i="9"/>
  <c r="E354" i="9"/>
  <c r="D354" i="9"/>
  <c r="E353" i="9"/>
  <c r="D353" i="9"/>
  <c r="E352" i="9"/>
  <c r="D352" i="9"/>
  <c r="E351" i="9"/>
  <c r="D351" i="9"/>
  <c r="E350" i="9"/>
  <c r="D350" i="9"/>
  <c r="E349" i="9"/>
  <c r="D349" i="9"/>
  <c r="E348" i="9"/>
  <c r="D348" i="9"/>
  <c r="E347" i="9"/>
  <c r="D347" i="9"/>
  <c r="E346" i="9"/>
  <c r="D346" i="9"/>
  <c r="E345" i="9"/>
  <c r="D345" i="9"/>
  <c r="E344" i="9"/>
  <c r="D344" i="9"/>
  <c r="E343" i="9"/>
  <c r="D343" i="9"/>
  <c r="E342" i="9"/>
  <c r="D342" i="9"/>
  <c r="E341" i="9"/>
  <c r="D341" i="9"/>
  <c r="E340" i="9"/>
  <c r="D340" i="9"/>
  <c r="E339" i="9"/>
  <c r="D339" i="9"/>
  <c r="E338" i="9"/>
  <c r="D338" i="9"/>
  <c r="E337" i="9"/>
  <c r="D337" i="9"/>
  <c r="E336" i="9"/>
  <c r="D336" i="9"/>
  <c r="E335" i="9"/>
  <c r="D335" i="9"/>
  <c r="E334" i="9"/>
  <c r="D334" i="9"/>
  <c r="E333" i="9"/>
  <c r="D333" i="9"/>
  <c r="E332" i="9"/>
  <c r="D332" i="9"/>
  <c r="E331" i="9"/>
  <c r="D331" i="9"/>
  <c r="E330" i="9"/>
  <c r="D330" i="9"/>
  <c r="E329" i="9"/>
  <c r="D329" i="9"/>
  <c r="E328" i="9"/>
  <c r="D328" i="9"/>
  <c r="E327" i="9"/>
  <c r="D327" i="9"/>
  <c r="E326" i="9"/>
  <c r="D326" i="9"/>
  <c r="E325" i="9"/>
  <c r="D325" i="9"/>
  <c r="E324" i="9"/>
  <c r="D324" i="9"/>
  <c r="E323" i="9"/>
  <c r="D323" i="9"/>
  <c r="E322" i="9"/>
  <c r="D322" i="9"/>
  <c r="E321" i="9"/>
  <c r="D321" i="9"/>
  <c r="E320" i="9"/>
  <c r="D320" i="9"/>
  <c r="E319" i="9"/>
  <c r="D319" i="9"/>
  <c r="E318" i="9"/>
  <c r="D318" i="9"/>
  <c r="E317" i="9"/>
  <c r="D317" i="9"/>
  <c r="E316" i="9"/>
  <c r="D316" i="9"/>
  <c r="E315" i="9"/>
  <c r="D315" i="9"/>
  <c r="E314" i="9"/>
  <c r="D314" i="9"/>
  <c r="E313" i="9"/>
  <c r="D313" i="9"/>
  <c r="E312" i="9"/>
  <c r="D312" i="9"/>
  <c r="E311" i="9"/>
  <c r="D311" i="9"/>
  <c r="E310" i="9"/>
  <c r="D310" i="9"/>
  <c r="E309" i="9"/>
  <c r="D309" i="9"/>
  <c r="E308" i="9"/>
  <c r="D308" i="9"/>
  <c r="E307" i="9"/>
  <c r="D307" i="9"/>
  <c r="E306" i="9"/>
  <c r="D306" i="9"/>
  <c r="E305" i="9"/>
  <c r="D305" i="9"/>
  <c r="E304" i="9"/>
  <c r="D304" i="9"/>
  <c r="E303" i="9"/>
  <c r="D303" i="9"/>
  <c r="E302" i="9"/>
  <c r="D302" i="9"/>
  <c r="E301" i="9"/>
  <c r="D301" i="9"/>
  <c r="E300" i="9"/>
  <c r="D300" i="9"/>
  <c r="E299" i="9"/>
  <c r="D299" i="9"/>
  <c r="E298" i="9"/>
  <c r="D298" i="9"/>
  <c r="E297" i="9"/>
  <c r="D297" i="9"/>
  <c r="E296" i="9"/>
  <c r="D296" i="9"/>
  <c r="E295" i="9"/>
  <c r="D295" i="9"/>
  <c r="E294" i="9"/>
  <c r="D294" i="9"/>
  <c r="E293" i="9"/>
  <c r="D293" i="9"/>
  <c r="E292" i="9"/>
  <c r="D292" i="9"/>
  <c r="E291" i="9"/>
  <c r="D291" i="9"/>
  <c r="E290" i="9"/>
  <c r="D290" i="9"/>
  <c r="E289" i="9"/>
  <c r="D289" i="9"/>
  <c r="E288" i="9"/>
  <c r="D288" i="9"/>
  <c r="E287" i="9"/>
  <c r="D287" i="9"/>
  <c r="E286" i="9"/>
  <c r="D286" i="9"/>
  <c r="E285" i="9"/>
  <c r="D285" i="9"/>
  <c r="E284" i="9"/>
  <c r="D284" i="9"/>
  <c r="E283" i="9"/>
  <c r="D283" i="9"/>
  <c r="E282" i="9"/>
  <c r="D282" i="9"/>
  <c r="E281" i="9"/>
  <c r="D281" i="9"/>
  <c r="E280" i="9"/>
  <c r="D280" i="9"/>
  <c r="E279" i="9"/>
  <c r="D279" i="9"/>
  <c r="E278" i="9"/>
  <c r="D278" i="9"/>
  <c r="E277" i="9"/>
  <c r="D277" i="9"/>
  <c r="E276" i="9"/>
  <c r="D276" i="9"/>
  <c r="E275" i="9"/>
  <c r="D275" i="9"/>
  <c r="E274" i="9"/>
  <c r="D274" i="9"/>
  <c r="E273" i="9"/>
  <c r="D273" i="9"/>
  <c r="E272" i="9"/>
  <c r="D272" i="9"/>
  <c r="E271" i="9"/>
  <c r="D271" i="9"/>
  <c r="E270" i="9"/>
  <c r="D270" i="9"/>
  <c r="E269" i="9"/>
  <c r="D269" i="9"/>
  <c r="E268" i="9"/>
  <c r="D268" i="9"/>
  <c r="E267" i="9"/>
  <c r="D267" i="9"/>
  <c r="E266" i="9"/>
  <c r="D266" i="9"/>
  <c r="E265" i="9"/>
  <c r="D265" i="9"/>
  <c r="E264" i="9"/>
  <c r="D264" i="9"/>
  <c r="E263" i="9"/>
  <c r="D263" i="9"/>
  <c r="E262" i="9"/>
  <c r="D262" i="9"/>
  <c r="E261" i="9"/>
  <c r="D261" i="9"/>
  <c r="E260" i="9"/>
  <c r="D260" i="9"/>
  <c r="E259" i="9"/>
  <c r="D259" i="9"/>
  <c r="E258" i="9"/>
  <c r="D258" i="9"/>
  <c r="E257" i="9"/>
  <c r="D257" i="9"/>
  <c r="E256" i="9"/>
  <c r="D256" i="9"/>
  <c r="E255" i="9"/>
  <c r="D255" i="9"/>
  <c r="E254" i="9"/>
  <c r="D254" i="9"/>
  <c r="E253" i="9"/>
  <c r="D253" i="9"/>
  <c r="E252" i="9"/>
  <c r="D252" i="9"/>
  <c r="E251" i="9"/>
  <c r="D251" i="9"/>
  <c r="E250" i="9"/>
  <c r="D250" i="9"/>
  <c r="E249" i="9"/>
  <c r="D249" i="9"/>
  <c r="E248" i="9"/>
  <c r="D248" i="9"/>
  <c r="E247" i="9"/>
  <c r="D247" i="9"/>
  <c r="E246" i="9"/>
  <c r="D246" i="9"/>
  <c r="E245" i="9"/>
  <c r="D245" i="9"/>
  <c r="E244" i="9"/>
  <c r="D244" i="9"/>
  <c r="E243" i="9"/>
  <c r="D243" i="9"/>
  <c r="E242" i="9"/>
  <c r="D242" i="9"/>
  <c r="E241" i="9"/>
  <c r="D241" i="9"/>
  <c r="E240" i="9"/>
  <c r="D240" i="9"/>
  <c r="E239" i="9"/>
  <c r="D239" i="9"/>
  <c r="E238" i="9"/>
  <c r="D238" i="9"/>
  <c r="E237" i="9"/>
  <c r="D237" i="9"/>
  <c r="E236" i="9"/>
  <c r="D236" i="9"/>
  <c r="E235" i="9"/>
  <c r="D235" i="9"/>
  <c r="E234" i="9"/>
  <c r="D234" i="9"/>
  <c r="E233" i="9"/>
  <c r="D233" i="9"/>
  <c r="E232" i="9"/>
  <c r="D232" i="9"/>
  <c r="E231" i="9"/>
  <c r="D231" i="9"/>
  <c r="E230" i="9"/>
  <c r="D230" i="9"/>
  <c r="E229" i="9"/>
  <c r="D229" i="9"/>
  <c r="E228" i="9"/>
  <c r="D228" i="9"/>
  <c r="E227" i="9"/>
  <c r="D227" i="9"/>
  <c r="E226" i="9"/>
  <c r="D226" i="9"/>
  <c r="E225" i="9"/>
  <c r="D225" i="9"/>
  <c r="E224" i="9"/>
  <c r="D224" i="9"/>
  <c r="E223" i="9"/>
  <c r="D223" i="9"/>
  <c r="E222" i="9"/>
  <c r="D222" i="9"/>
  <c r="E221" i="9"/>
  <c r="D221" i="9"/>
  <c r="E220" i="9"/>
  <c r="D220" i="9"/>
  <c r="E219" i="9"/>
  <c r="D219" i="9"/>
  <c r="E218" i="9"/>
  <c r="D218" i="9"/>
  <c r="E217" i="9"/>
  <c r="D217" i="9"/>
  <c r="E216" i="9"/>
  <c r="D216" i="9"/>
  <c r="E215" i="9"/>
  <c r="D215" i="9"/>
  <c r="E214" i="9"/>
  <c r="D214" i="9"/>
  <c r="E213" i="9"/>
  <c r="D213" i="9"/>
  <c r="E212" i="9"/>
  <c r="D212" i="9"/>
  <c r="E211" i="9"/>
  <c r="D211" i="9"/>
  <c r="E210" i="9"/>
  <c r="D210" i="9"/>
  <c r="E209" i="9"/>
  <c r="D209" i="9"/>
  <c r="E208" i="9"/>
  <c r="D208" i="9"/>
  <c r="E207" i="9"/>
  <c r="D207" i="9"/>
  <c r="E206" i="9"/>
  <c r="D206" i="9"/>
  <c r="E205" i="9"/>
  <c r="D205" i="9"/>
  <c r="E204" i="9"/>
  <c r="D204" i="9"/>
  <c r="E203" i="9"/>
  <c r="D203" i="9"/>
  <c r="E202" i="9"/>
  <c r="D202" i="9"/>
  <c r="E201" i="9"/>
  <c r="D201" i="9"/>
  <c r="E200" i="9"/>
  <c r="D200" i="9"/>
  <c r="E199" i="9"/>
  <c r="D199" i="9"/>
  <c r="E198" i="9"/>
  <c r="D198" i="9"/>
  <c r="E197" i="9"/>
  <c r="D197" i="9"/>
  <c r="E196" i="9"/>
  <c r="D196" i="9"/>
  <c r="E195" i="9"/>
  <c r="D195" i="9"/>
  <c r="E194" i="9"/>
  <c r="D194" i="9"/>
  <c r="E193" i="9"/>
  <c r="D193" i="9"/>
  <c r="E192" i="9"/>
  <c r="D192" i="9"/>
  <c r="E191" i="9"/>
  <c r="D191" i="9"/>
  <c r="E190" i="9"/>
  <c r="D190" i="9"/>
  <c r="E189" i="9"/>
  <c r="D189" i="9"/>
  <c r="E188" i="9"/>
  <c r="D188" i="9"/>
  <c r="E187" i="9"/>
  <c r="D187" i="9"/>
  <c r="E186" i="9"/>
  <c r="D186" i="9"/>
  <c r="E185" i="9"/>
  <c r="D185" i="9"/>
  <c r="E184" i="9"/>
  <c r="D184" i="9"/>
  <c r="E183" i="9"/>
  <c r="D183" i="9"/>
  <c r="E182" i="9"/>
  <c r="D182" i="9"/>
  <c r="E181" i="9"/>
  <c r="D181" i="9"/>
  <c r="E180" i="9"/>
  <c r="D180" i="9"/>
  <c r="E179" i="9"/>
  <c r="D179" i="9"/>
  <c r="E178" i="9"/>
  <c r="D178" i="9"/>
  <c r="E177" i="9"/>
  <c r="D177" i="9"/>
  <c r="E176" i="9"/>
  <c r="D176" i="9"/>
  <c r="E175" i="9"/>
  <c r="D175" i="9"/>
  <c r="E174" i="9"/>
  <c r="D174" i="9"/>
  <c r="E173" i="9"/>
  <c r="D173" i="9"/>
  <c r="E172" i="9"/>
  <c r="D172" i="9"/>
  <c r="E171" i="9"/>
  <c r="D171" i="9"/>
  <c r="E170" i="9"/>
  <c r="D170" i="9"/>
  <c r="E169" i="9"/>
  <c r="D169" i="9"/>
  <c r="E168" i="9"/>
  <c r="D168" i="9"/>
  <c r="E167" i="9"/>
  <c r="D167" i="9"/>
  <c r="E166" i="9"/>
  <c r="D166" i="9"/>
  <c r="E165" i="9"/>
  <c r="D165" i="9"/>
  <c r="E164" i="9"/>
  <c r="D164" i="9"/>
  <c r="E163" i="9"/>
  <c r="D163" i="9"/>
  <c r="E162" i="9"/>
  <c r="D162" i="9"/>
  <c r="E161" i="9"/>
  <c r="D161" i="9"/>
  <c r="E160" i="9"/>
  <c r="D160" i="9"/>
  <c r="E159" i="9"/>
  <c r="D159" i="9"/>
  <c r="E158" i="9"/>
  <c r="D158" i="9"/>
  <c r="E157" i="9"/>
  <c r="D157" i="9"/>
  <c r="E156" i="9"/>
  <c r="D156" i="9"/>
  <c r="E155" i="9"/>
  <c r="D155" i="9"/>
  <c r="E154" i="9"/>
  <c r="D154" i="9"/>
  <c r="E153" i="9"/>
  <c r="D153" i="9"/>
  <c r="E152" i="9"/>
  <c r="D152" i="9"/>
  <c r="E151" i="9"/>
  <c r="D151" i="9"/>
  <c r="E150" i="9"/>
  <c r="D150" i="9"/>
  <c r="E149" i="9"/>
  <c r="D149" i="9"/>
  <c r="E148" i="9"/>
  <c r="D148" i="9"/>
  <c r="E147" i="9"/>
  <c r="D147" i="9"/>
  <c r="E146" i="9"/>
  <c r="D146" i="9"/>
  <c r="E145" i="9"/>
  <c r="D145" i="9"/>
  <c r="E144" i="9"/>
  <c r="D144" i="9"/>
  <c r="E143" i="9"/>
  <c r="D143" i="9"/>
  <c r="E142" i="9"/>
  <c r="D142" i="9"/>
  <c r="E141" i="9"/>
  <c r="D141" i="9"/>
  <c r="E140" i="9"/>
  <c r="D140" i="9"/>
  <c r="E139" i="9"/>
  <c r="D139" i="9"/>
  <c r="E138" i="9"/>
  <c r="D138" i="9"/>
  <c r="E137" i="9"/>
  <c r="D137" i="9"/>
  <c r="E136" i="9"/>
  <c r="D136" i="9"/>
  <c r="E135" i="9"/>
  <c r="D135" i="9"/>
  <c r="E134" i="9"/>
  <c r="D134" i="9"/>
  <c r="E133" i="9"/>
  <c r="D133" i="9"/>
  <c r="E132" i="9"/>
  <c r="D132" i="9"/>
  <c r="E131" i="9"/>
  <c r="D131" i="9"/>
  <c r="E130" i="9"/>
  <c r="D130" i="9"/>
  <c r="E129" i="9"/>
  <c r="D129" i="9"/>
  <c r="E128" i="9"/>
  <c r="D128" i="9"/>
  <c r="E127" i="9"/>
  <c r="D127" i="9"/>
  <c r="E126" i="9"/>
  <c r="D126" i="9"/>
  <c r="E125" i="9"/>
  <c r="D125" i="9"/>
  <c r="E124" i="9"/>
  <c r="D124" i="9"/>
  <c r="E123" i="9"/>
  <c r="D123" i="9"/>
  <c r="E122" i="9"/>
  <c r="D122" i="9"/>
  <c r="E121" i="9"/>
  <c r="D121" i="9"/>
  <c r="E120" i="9"/>
  <c r="D120" i="9"/>
  <c r="E119" i="9"/>
  <c r="D119" i="9"/>
  <c r="E118" i="9"/>
  <c r="D118" i="9"/>
  <c r="E117" i="9"/>
  <c r="D117" i="9"/>
  <c r="E116" i="9"/>
  <c r="D116" i="9"/>
  <c r="E115" i="9"/>
  <c r="D115" i="9"/>
  <c r="E114" i="9"/>
  <c r="D114" i="9"/>
  <c r="E113" i="9"/>
  <c r="D113" i="9"/>
  <c r="E112" i="9"/>
  <c r="D112" i="9"/>
  <c r="E111" i="9"/>
  <c r="D111" i="9"/>
  <c r="E110" i="9"/>
  <c r="D110" i="9"/>
  <c r="E109" i="9"/>
  <c r="D109" i="9"/>
  <c r="E108" i="9"/>
  <c r="D108" i="9"/>
  <c r="E107" i="9"/>
  <c r="D107" i="9"/>
  <c r="E106" i="9"/>
  <c r="D106" i="9"/>
  <c r="E105" i="9"/>
  <c r="D105" i="9"/>
  <c r="E104" i="9"/>
  <c r="D104" i="9"/>
  <c r="E103" i="9"/>
  <c r="D103" i="9"/>
  <c r="E102" i="9"/>
  <c r="D102" i="9"/>
  <c r="E101" i="9"/>
  <c r="D101" i="9"/>
  <c r="E100" i="9"/>
  <c r="D100" i="9"/>
  <c r="E99" i="9"/>
  <c r="D99" i="9"/>
  <c r="E98" i="9"/>
  <c r="D98" i="9"/>
  <c r="E97" i="9"/>
  <c r="D97" i="9"/>
  <c r="E96" i="9"/>
  <c r="D96" i="9"/>
  <c r="E95" i="9"/>
  <c r="D95" i="9"/>
  <c r="E94" i="9"/>
  <c r="D94" i="9"/>
  <c r="E93" i="9"/>
  <c r="D93" i="9"/>
  <c r="E92" i="9"/>
  <c r="D92" i="9"/>
  <c r="E91" i="9"/>
  <c r="D91" i="9"/>
  <c r="E90" i="9"/>
  <c r="D90" i="9"/>
  <c r="E89" i="9"/>
  <c r="D89" i="9"/>
  <c r="E88" i="9"/>
  <c r="D88" i="9"/>
  <c r="E87" i="9"/>
  <c r="D87" i="9"/>
  <c r="E86" i="9"/>
  <c r="D86" i="9"/>
  <c r="E85" i="9"/>
  <c r="D85" i="9"/>
  <c r="E84" i="9"/>
  <c r="D84" i="9"/>
  <c r="E83" i="9"/>
  <c r="G83" i="7" s="1"/>
  <c r="D83" i="9"/>
  <c r="F83" i="7" s="1"/>
  <c r="E81" i="9"/>
  <c r="G81" i="7" s="1"/>
  <c r="D81" i="9"/>
  <c r="F81" i="7" s="1"/>
  <c r="E80" i="9"/>
  <c r="G80" i="7" s="1"/>
  <c r="D80" i="9"/>
  <c r="F80" i="7" s="1"/>
  <c r="E79" i="9"/>
  <c r="G79" i="7" s="1"/>
  <c r="D79" i="9"/>
  <c r="E78" i="9"/>
  <c r="D78" i="9"/>
  <c r="F78" i="7" s="1"/>
  <c r="E77" i="9"/>
  <c r="G77" i="7" s="1"/>
  <c r="D77" i="9"/>
  <c r="F77" i="7" s="1"/>
  <c r="E76" i="9"/>
  <c r="G76" i="7" s="1"/>
  <c r="D76" i="9"/>
  <c r="F76" i="7" s="1"/>
  <c r="E75" i="9"/>
  <c r="G75" i="7" s="1"/>
  <c r="D75" i="9"/>
  <c r="E74" i="9"/>
  <c r="G74" i="7" s="1"/>
  <c r="D74" i="9"/>
  <c r="F74" i="7" s="1"/>
  <c r="E73" i="9"/>
  <c r="G73" i="7" s="1"/>
  <c r="D73" i="9"/>
  <c r="E72" i="9"/>
  <c r="G72" i="7" s="1"/>
  <c r="D72" i="9"/>
  <c r="F72" i="7" s="1"/>
  <c r="E71" i="9"/>
  <c r="G71" i="7" s="1"/>
  <c r="D71" i="9"/>
  <c r="F71" i="7" s="1"/>
  <c r="E70" i="9"/>
  <c r="G70" i="7" s="1"/>
  <c r="D70" i="9"/>
  <c r="F70" i="7" s="1"/>
  <c r="E69" i="9"/>
  <c r="G69" i="7" s="1"/>
  <c r="D69" i="9"/>
  <c r="F69" i="7" s="1"/>
  <c r="E68" i="9"/>
  <c r="G68" i="7" s="1"/>
  <c r="D68" i="9"/>
  <c r="E67" i="9"/>
  <c r="G67" i="7" s="1"/>
  <c r="D67" i="9"/>
  <c r="F67" i="7" s="1"/>
  <c r="E66" i="9"/>
  <c r="G53" i="7" s="1"/>
  <c r="D66" i="9"/>
  <c r="F53" i="7" s="1"/>
  <c r="E65" i="9"/>
  <c r="D65" i="9"/>
  <c r="F65" i="7" s="1"/>
  <c r="E64" i="9"/>
  <c r="G64" i="7" s="1"/>
  <c r="D64" i="9"/>
  <c r="F64" i="7" s="1"/>
  <c r="E63" i="9"/>
  <c r="G63" i="7" s="1"/>
  <c r="D63" i="9"/>
  <c r="F63" i="7" s="1"/>
  <c r="E62" i="9"/>
  <c r="G62" i="7" s="1"/>
  <c r="D62" i="9"/>
  <c r="F62" i="7" s="1"/>
  <c r="E61" i="9"/>
  <c r="G61" i="7" s="1"/>
  <c r="D61" i="9"/>
  <c r="E60" i="9"/>
  <c r="G60" i="7" s="1"/>
  <c r="D60" i="9"/>
  <c r="F60" i="7" s="1"/>
  <c r="E59" i="9"/>
  <c r="G59" i="7" s="1"/>
  <c r="D59" i="9"/>
  <c r="F59" i="7" s="1"/>
  <c r="E58" i="9"/>
  <c r="G58" i="7" s="1"/>
  <c r="D58" i="9"/>
  <c r="E57" i="9"/>
  <c r="G57" i="7" s="1"/>
  <c r="D57" i="9"/>
  <c r="F57" i="7" s="1"/>
  <c r="E56" i="9"/>
  <c r="G56" i="7" s="1"/>
  <c r="D56" i="9"/>
  <c r="F56" i="7" s="1"/>
  <c r="E55" i="9"/>
  <c r="D55" i="9"/>
  <c r="F55" i="7" s="1"/>
  <c r="E54" i="9"/>
  <c r="G54" i="7" s="1"/>
  <c r="D54" i="9"/>
  <c r="E53" i="9"/>
  <c r="D53" i="9"/>
  <c r="E52" i="9"/>
  <c r="G52" i="7" s="1"/>
  <c r="D52" i="9"/>
  <c r="F52" i="7" s="1"/>
  <c r="E51" i="9"/>
  <c r="G51" i="7" s="1"/>
  <c r="D51" i="9"/>
  <c r="F51" i="7" s="1"/>
  <c r="E50" i="9"/>
  <c r="G50" i="7" s="1"/>
  <c r="D50" i="9"/>
  <c r="E49" i="9"/>
  <c r="G49" i="7" s="1"/>
  <c r="D49" i="9"/>
  <c r="F49" i="7" s="1"/>
  <c r="E48" i="9"/>
  <c r="D48" i="9"/>
  <c r="F48" i="7" s="1"/>
  <c r="E47" i="9"/>
  <c r="G47" i="7" s="1"/>
  <c r="D47" i="9"/>
  <c r="E46" i="9"/>
  <c r="D46" i="9"/>
  <c r="F46" i="7" s="1"/>
  <c r="E45" i="9"/>
  <c r="G45" i="7" s="1"/>
  <c r="D45" i="9"/>
  <c r="F45" i="7" s="1"/>
  <c r="E44" i="9"/>
  <c r="G32" i="7" s="1"/>
  <c r="D44" i="9"/>
  <c r="F32" i="7" s="1"/>
  <c r="E43" i="9"/>
  <c r="G43" i="7" s="1"/>
  <c r="D43" i="9"/>
  <c r="F43" i="7" s="1"/>
  <c r="E42" i="9"/>
  <c r="D42" i="9"/>
  <c r="E41" i="9"/>
  <c r="D41" i="9"/>
  <c r="E40" i="9"/>
  <c r="D40" i="9"/>
  <c r="E39" i="9"/>
  <c r="G39" i="7" s="1"/>
  <c r="D39" i="9"/>
  <c r="E38" i="9"/>
  <c r="G38" i="7" s="1"/>
  <c r="D38" i="9"/>
  <c r="F38" i="7" s="1"/>
  <c r="E37" i="9"/>
  <c r="G37" i="7" s="1"/>
  <c r="D37" i="9"/>
  <c r="F37" i="7" s="1"/>
  <c r="E36" i="9"/>
  <c r="G36" i="7" s="1"/>
  <c r="D36" i="9"/>
  <c r="F36" i="7" s="1"/>
  <c r="E35" i="9"/>
  <c r="G35" i="7" s="1"/>
  <c r="D35" i="9"/>
  <c r="F26" i="7" s="1"/>
  <c r="E34" i="9"/>
  <c r="D34" i="9"/>
  <c r="F34" i="7" s="1"/>
  <c r="E33" i="9"/>
  <c r="G33" i="7" s="1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G24" i="7" s="1"/>
  <c r="D24" i="9"/>
  <c r="F24" i="7" s="1"/>
  <c r="E23" i="9"/>
  <c r="D23" i="9"/>
  <c r="E22" i="9"/>
  <c r="D22" i="9"/>
  <c r="E21" i="9"/>
  <c r="D21" i="9"/>
  <c r="E20" i="9"/>
  <c r="D20" i="9"/>
  <c r="E19" i="9"/>
  <c r="D19" i="9"/>
  <c r="E18" i="9"/>
  <c r="D18" i="9"/>
  <c r="F18" i="7" s="1"/>
  <c r="E17" i="9"/>
  <c r="G17" i="7" s="1"/>
  <c r="D17" i="9"/>
  <c r="E16" i="9"/>
  <c r="D16" i="9"/>
  <c r="E15" i="9"/>
  <c r="D15" i="9"/>
  <c r="E14" i="9"/>
  <c r="D14" i="9"/>
  <c r="E13" i="9"/>
  <c r="D13" i="9"/>
  <c r="F13" i="7" s="1"/>
  <c r="E12" i="9"/>
  <c r="D12" i="9"/>
  <c r="E11" i="9"/>
  <c r="G11" i="7" s="1"/>
  <c r="D11" i="9"/>
  <c r="F11" i="7" s="1"/>
  <c r="E10" i="9"/>
  <c r="G10" i="7" s="1"/>
  <c r="D10" i="9"/>
  <c r="F10" i="7" s="1"/>
  <c r="E9" i="9"/>
  <c r="D9" i="9"/>
  <c r="E8" i="9"/>
  <c r="G5" i="7" s="1"/>
  <c r="D8" i="9"/>
  <c r="E7" i="9"/>
  <c r="D7" i="9"/>
  <c r="E6" i="9"/>
  <c r="G6" i="7" s="1"/>
  <c r="D6" i="9"/>
  <c r="F6" i="7" s="1"/>
  <c r="D5" i="9"/>
  <c r="E4" i="9"/>
  <c r="G4" i="7" s="1"/>
  <c r="D4" i="9"/>
  <c r="F4" i="7" s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" i="11" l="1"/>
  <c r="D4" i="11"/>
  <c r="D3" i="11"/>
  <c r="D4" i="10"/>
  <c r="D5" i="10"/>
  <c r="G15" i="7"/>
  <c r="F21" i="7"/>
  <c r="F28" i="7"/>
  <c r="F30" i="7"/>
  <c r="F15" i="7"/>
  <c r="G20" i="7"/>
  <c r="G27" i="7"/>
  <c r="F7" i="7"/>
  <c r="G7" i="7"/>
  <c r="G14" i="7"/>
  <c r="G21" i="7"/>
  <c r="G28" i="7"/>
  <c r="G30" i="7"/>
  <c r="F17" i="7"/>
  <c r="F29" i="7"/>
  <c r="G22" i="7"/>
  <c r="G29" i="7"/>
  <c r="F9" i="7"/>
  <c r="F19" i="7"/>
  <c r="G9" i="7"/>
  <c r="G23" i="7"/>
  <c r="B15" i="10"/>
  <c r="D15" i="10"/>
  <c r="D3" i="10" s="1"/>
  <c r="G12" i="7"/>
  <c r="G40" i="7"/>
  <c r="G26" i="7"/>
  <c r="F5" i="7"/>
  <c r="F41" i="7"/>
  <c r="F23" i="7"/>
  <c r="G19" i="7"/>
  <c r="F44" i="7"/>
  <c r="F58" i="7"/>
  <c r="F20" i="7"/>
  <c r="F27" i="7"/>
  <c r="F39" i="7"/>
  <c r="G34" i="7"/>
  <c r="F35" i="7"/>
  <c r="G42" i="7"/>
  <c r="F22" i="7"/>
  <c r="G13" i="7"/>
  <c r="F42" i="7"/>
  <c r="G48" i="7"/>
  <c r="G41" i="7"/>
  <c r="G55" i="7"/>
  <c r="F14" i="7"/>
  <c r="F25" i="7"/>
  <c r="G25" i="7"/>
  <c r="G8" i="7"/>
  <c r="F12" i="7"/>
  <c r="F8" i="7"/>
  <c r="G66" i="7"/>
  <c r="G44" i="7"/>
  <c r="E82" i="9"/>
  <c r="G82" i="7" s="1"/>
  <c r="D82" i="9"/>
  <c r="F82" i="7" s="1"/>
  <c r="D9" i="11" l="1"/>
  <c r="D12" i="11" s="1"/>
  <c r="D6" i="11"/>
  <c r="D9" i="10"/>
  <c r="D12" i="10" s="1"/>
  <c r="G16" i="7"/>
  <c r="B7" i="6" s="1" a="1"/>
  <c r="B7" i="6" s="1"/>
  <c r="F16" i="7"/>
  <c r="B8" i="6" l="1" a="1"/>
  <c r="B8" i="6" s="1"/>
  <c r="B5" i="6" a="1"/>
  <c r="B5" i="6" s="1"/>
  <c r="B6" i="6" a="1"/>
  <c r="B6" i="6" s="1"/>
  <c r="B10" i="6" l="1"/>
  <c r="B27" i="6" s="1"/>
  <c r="D6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<sst xmlns="http://schemas.openxmlformats.org/spreadsheetml/2006/main" count="366" uniqueCount="202">
  <si>
    <t>NOTICE</t>
  </si>
  <si>
    <t>⚠️ PRÉREQUIS IMPORTANTS</t>
  </si>
  <si>
    <r>
      <t xml:space="preserve">Seuls les comptes de </t>
    </r>
    <r>
      <rPr>
        <b/>
        <sz val="12"/>
        <rFont val="Calibri"/>
        <family val="2"/>
      </rPr>
      <t>charges</t>
    </r>
    <r>
      <rPr>
        <sz val="12"/>
        <rFont val="Calibri"/>
        <family val="2"/>
      </rPr>
      <t xml:space="preserve"> (classe 6) et de </t>
    </r>
    <r>
      <rPr>
        <b/>
        <sz val="12"/>
        <rFont val="Calibri"/>
        <family val="2"/>
      </rPr>
      <t>produits</t>
    </r>
    <r>
      <rPr>
        <sz val="12"/>
        <rFont val="Calibri"/>
        <family val="2"/>
      </rPr>
      <t xml:space="preserve"> (classe 7) doivent être utilisés dans ce fichier.</t>
    </r>
  </si>
  <si>
    <t>Les comptes d’actif et de passif (classes 1 à 5) ne doivent pas être intégrés.</t>
  </si>
  <si>
    <r>
      <t xml:space="preserve">L’activation des </t>
    </r>
    <r>
      <rPr>
        <b/>
        <sz val="12"/>
        <color theme="1"/>
        <rFont val="Calibri"/>
        <family val="2"/>
      </rPr>
      <t>macros</t>
    </r>
    <r>
      <rPr>
        <sz val="12"/>
        <color theme="1"/>
        <rFont val="Calibri"/>
        <family val="2"/>
      </rPr>
      <t xml:space="preserve"> est nécessaire au bon fonctionnement de l’outil</t>
    </r>
  </si>
  <si>
    <r>
      <t xml:space="preserve">Les cases de </t>
    </r>
    <r>
      <rPr>
        <b/>
        <sz val="12"/>
        <color theme="1"/>
        <rFont val="Calibri"/>
        <family val="2"/>
      </rPr>
      <t>couleurs jaune clair</t>
    </r>
    <r>
      <rPr>
        <sz val="12"/>
        <color theme="1"/>
        <rFont val="Calibri"/>
        <family val="2"/>
      </rPr>
      <t xml:space="preserve"> sont les seules à devoir être complétées, le reste du tableau est </t>
    </r>
    <r>
      <rPr>
        <b/>
        <sz val="12"/>
        <color theme="1"/>
        <rFont val="Calibri"/>
        <family val="2"/>
      </rPr>
      <t>automatisé</t>
    </r>
    <r>
      <rPr>
        <sz val="12"/>
        <color theme="1"/>
        <rFont val="Calibri"/>
        <family val="2"/>
      </rPr>
      <t>.</t>
    </r>
  </si>
  <si>
    <r>
      <t xml:space="preserve">Le fichier est </t>
    </r>
    <r>
      <rPr>
        <b/>
        <sz val="12"/>
        <color theme="1"/>
        <rFont val="Calibri"/>
        <family val="2"/>
      </rPr>
      <t>protégé sans mot de passe</t>
    </r>
    <r>
      <rPr>
        <sz val="12"/>
        <color theme="1"/>
        <rFont val="Calibri"/>
        <family val="2"/>
      </rPr>
      <t>. Il peut être adapté à d’autres projets en personnalisant les intitulés ou les hypothèses. Il est conseillé de dupliquer l’original avant toute modification</t>
    </r>
  </si>
  <si>
    <t>🎯 Objectif de l’annexe</t>
  </si>
  <si>
    <r>
      <t xml:space="preserve">Ce fichier a été conçu pour accompagner la </t>
    </r>
    <r>
      <rPr>
        <b/>
        <sz val="12"/>
        <rFont val="Calibri"/>
        <family val="2"/>
      </rPr>
      <t>gestion comptable et fiscale</t>
    </r>
    <r>
      <rPr>
        <sz val="12"/>
        <rFont val="Calibri"/>
        <family val="2"/>
      </rPr>
      <t xml:space="preserve"> d’une École de Production, en automatisant notamment :</t>
    </r>
  </si>
  <si>
    <r>
      <t xml:space="preserve">• le </t>
    </r>
    <r>
      <rPr>
        <b/>
        <sz val="12"/>
        <rFont val="Calibri"/>
        <family val="2"/>
      </rPr>
      <t>calcul du coefficient de déduction de TVA</t>
    </r>
    <r>
      <rPr>
        <sz val="12"/>
        <rFont val="Calibri"/>
        <family val="2"/>
      </rPr>
      <t>,</t>
    </r>
  </si>
  <si>
    <r>
      <t xml:space="preserve">• la </t>
    </r>
    <r>
      <rPr>
        <b/>
        <sz val="12"/>
        <rFont val="Calibri"/>
        <family val="2"/>
      </rPr>
      <t>détermination du résultat fiscal</t>
    </r>
    <r>
      <rPr>
        <sz val="12"/>
        <rFont val="Calibri"/>
        <family val="2"/>
      </rPr>
      <t>.</t>
    </r>
  </si>
  <si>
    <t>🧩 ÉTAPE 1 — Création du plan comptable source (à faire une fois puis à mettre à jour chaque année)</t>
  </si>
  <si>
    <r>
      <rPr>
        <sz val="12"/>
        <color rgb="FF000000"/>
        <rFont val="Calibri"/>
        <family val="2"/>
      </rPr>
      <t xml:space="preserve">À la création de l’École de Production, il convient d’établir un 🧱 </t>
    </r>
    <r>
      <rPr>
        <sz val="12"/>
        <color rgb="FFFFD700"/>
        <rFont val="Calibri"/>
        <family val="2"/>
      </rPr>
      <t>Plan comptable source</t>
    </r>
    <r>
      <rPr>
        <sz val="12"/>
        <color rgb="FF000000"/>
        <rFont val="Calibri"/>
        <family val="2"/>
      </rPr>
      <t xml:space="preserve">   , soit :</t>
    </r>
  </si>
  <si>
    <t>• à partir du modèle intégré dans l'onglet de ce fichier Excel: 📄 Exemple PCG</t>
  </si>
  <si>
    <t>• soit en structurant son propre plan adapté à l’établissement.</t>
  </si>
  <si>
    <r>
      <t xml:space="preserve">Il convient d'intégrer dans le 🧱 Plan comptable source  le </t>
    </r>
    <r>
      <rPr>
        <b/>
        <sz val="12"/>
        <rFont val="Calibri"/>
        <family val="2"/>
      </rPr>
      <t>numéro du compte</t>
    </r>
    <r>
      <rPr>
        <sz val="12"/>
        <rFont val="Calibri"/>
        <family val="2"/>
      </rPr>
      <t xml:space="preserve"> et le </t>
    </r>
    <r>
      <rPr>
        <b/>
        <sz val="12"/>
        <rFont val="Calibri"/>
        <family val="2"/>
      </rPr>
      <t>libellé du compte</t>
    </r>
    <r>
      <rPr>
        <sz val="12"/>
        <rFont val="Calibri"/>
        <family val="2"/>
      </rPr>
      <t>.</t>
    </r>
  </si>
  <si>
    <r>
      <t xml:space="preserve">Ensuite, chaque compte est affecté à un </t>
    </r>
    <r>
      <rPr>
        <b/>
        <sz val="12"/>
        <rFont val="Calibri"/>
        <family val="2"/>
      </rPr>
      <t>domaine fonctionnel</t>
    </r>
    <r>
      <rPr>
        <sz val="12"/>
        <rFont val="Calibri"/>
        <family val="2"/>
      </rPr>
      <t xml:space="preserve"> en suivant la liste déroulante de la colonne Domaine :</t>
    </r>
  </si>
  <si>
    <r>
      <t xml:space="preserve">• </t>
    </r>
    <r>
      <rPr>
        <b/>
        <sz val="12"/>
        <rFont val="Calibri"/>
        <family val="2"/>
      </rPr>
      <t>Production</t>
    </r>
    <r>
      <rPr>
        <sz val="12"/>
        <rFont val="Calibri"/>
        <family val="2"/>
      </rPr>
      <t xml:space="preserve"> : activité économique taxable,</t>
    </r>
  </si>
  <si>
    <r>
      <t xml:space="preserve">• </t>
    </r>
    <r>
      <rPr>
        <b/>
        <sz val="12"/>
        <rFont val="Calibri"/>
        <family val="2"/>
      </rPr>
      <t>Pédagogie</t>
    </r>
    <r>
      <rPr>
        <sz val="12"/>
        <rFont val="Calibri"/>
        <family val="2"/>
      </rPr>
      <t xml:space="preserve"> : activité d’enseignement (hors champ TVA),</t>
    </r>
  </si>
  <si>
    <r>
      <t xml:space="preserve">• </t>
    </r>
    <r>
      <rPr>
        <b/>
        <sz val="12"/>
        <rFont val="Calibri"/>
        <family val="2"/>
      </rPr>
      <t>Fonctionnement général</t>
    </r>
    <r>
      <rPr>
        <sz val="12"/>
        <rFont val="Calibri"/>
        <family val="2"/>
      </rPr>
      <t xml:space="preserve"> : charges ou produits mutualisés pour les deux activités.</t>
    </r>
  </si>
  <si>
    <t>Cette classification permet une affectation automatique :</t>
  </si>
  <si>
    <r>
      <t xml:space="preserve">• d’une </t>
    </r>
    <r>
      <rPr>
        <b/>
        <sz val="12"/>
        <rFont val="Calibri"/>
        <family val="2"/>
      </rPr>
      <t>catégorie de TVA</t>
    </r>
    <r>
      <rPr>
        <sz val="12"/>
        <rFont val="Calibri"/>
        <family val="2"/>
      </rPr>
      <t xml:space="preserve"> (T, NT, M),</t>
    </r>
  </si>
  <si>
    <r>
      <t xml:space="preserve">• d’une </t>
    </r>
    <r>
      <rPr>
        <b/>
        <sz val="12"/>
        <rFont val="Calibri"/>
        <family val="2"/>
      </rPr>
      <t>clé de répartition</t>
    </r>
    <r>
      <rPr>
        <sz val="12"/>
        <rFont val="Calibri"/>
        <family val="2"/>
      </rPr>
      <t>, utilisée dans les feuilles de calcul TVA et résultat fiscal.</t>
    </r>
  </si>
  <si>
    <r>
      <t xml:space="preserve">Si l'📄 Exemple PCG    est celui qui est utilisé, un simple </t>
    </r>
    <r>
      <rPr>
        <b/>
        <sz val="12"/>
        <rFont val="Calibri"/>
        <family val="2"/>
      </rPr>
      <t>copier/coller</t>
    </r>
    <r>
      <rPr>
        <sz val="12"/>
        <rFont val="Calibri"/>
        <family val="2"/>
      </rPr>
      <t xml:space="preserve"> des colonnes "Compte", "Libellé du compte" et </t>
    </r>
    <r>
      <rPr>
        <b/>
        <sz val="12"/>
        <rFont val="Calibri"/>
        <family val="2"/>
      </rPr>
      <t>"Domaine"</t>
    </r>
    <r>
      <rPr>
        <sz val="12"/>
        <rFont val="Calibri"/>
        <family val="2"/>
      </rPr>
      <t xml:space="preserve"> est possible, en prenant uniquement en selection le plan comptable (Sans les entêtes des colonnes)</t>
    </r>
  </si>
  <si>
    <t>📥 ÉTAPE 2 — Intégration de la balance comptable</t>
  </si>
  <si>
    <r>
      <t xml:space="preserve">La balance doit être </t>
    </r>
    <r>
      <rPr>
        <b/>
        <sz val="12"/>
        <rFont val="Calibri"/>
        <family val="2"/>
      </rPr>
      <t>collée</t>
    </r>
    <r>
      <rPr>
        <sz val="12"/>
        <rFont val="Calibri"/>
        <family val="2"/>
      </rPr>
      <t xml:space="preserve"> dans la feuille dédiée                                     , au format suivant :</t>
    </r>
  </si>
  <si>
    <t>Compte | Libellé | Débit | Crédit</t>
  </si>
  <si>
    <r>
      <t xml:space="preserve">Les colonnes Débit et Crédit doivent être formatées en </t>
    </r>
    <r>
      <rPr>
        <b/>
        <sz val="12"/>
        <rFont val="Calibri"/>
        <family val="2"/>
      </rPr>
      <t>"Nombre"</t>
    </r>
    <r>
      <rPr>
        <sz val="12"/>
        <rFont val="Calibri"/>
        <family val="2"/>
      </rPr>
      <t xml:space="preserve"> et le séparateur de décimal doit être une </t>
    </r>
    <r>
      <rPr>
        <b/>
        <sz val="12"/>
        <rFont val="Calibri"/>
        <family val="2"/>
      </rPr>
      <t>virgule</t>
    </r>
    <r>
      <rPr>
        <sz val="12"/>
        <rFont val="Calibri"/>
        <family val="2"/>
      </rPr>
      <t xml:space="preserve"> (,).</t>
    </r>
  </si>
  <si>
    <r>
      <t xml:space="preserve">Il est recommander de cliquer sur                                         afin de s'assurer du </t>
    </r>
    <r>
      <rPr>
        <b/>
        <sz val="12"/>
        <rFont val="Calibri"/>
        <family val="2"/>
      </rPr>
      <t>bon format</t>
    </r>
    <r>
      <rPr>
        <sz val="12"/>
        <rFont val="Calibri"/>
        <family val="2"/>
      </rPr>
      <t xml:space="preserve"> des colonnes débit et crédit.</t>
    </r>
  </si>
  <si>
    <r>
      <t xml:space="preserve">Le fichier identifie </t>
    </r>
    <r>
      <rPr>
        <b/>
        <sz val="12"/>
        <rFont val="Calibri"/>
        <family val="2"/>
      </rPr>
      <t>automatiquement</t>
    </r>
    <r>
      <rPr>
        <sz val="12"/>
        <rFont val="Calibri"/>
        <family val="2"/>
      </rPr>
      <t xml:space="preserve"> les comptes et applique :</t>
    </r>
  </si>
  <si>
    <t>• la catégorie de TVA,</t>
  </si>
  <si>
    <t>• la clé de répartition, selon le 🧱 Plan comptable source  .</t>
  </si>
  <si>
    <t>En cas de compte non reconnu, la ligne s’affiche en rouge.</t>
  </si>
  <si>
    <r>
      <t xml:space="preserve">Le compte doit alors être ajouté dans le plan comptable source     , avec un </t>
    </r>
    <r>
      <rPr>
        <b/>
        <sz val="12"/>
        <rFont val="Calibri"/>
        <family val="2"/>
      </rPr>
      <t>domaine affecté</t>
    </r>
    <r>
      <rPr>
        <sz val="12"/>
        <rFont val="Calibri"/>
        <family val="2"/>
      </rPr>
      <t>.</t>
    </r>
  </si>
  <si>
    <r>
      <t xml:space="preserve">Aucun calcul ne sera fiable tant que des comptes sont en </t>
    </r>
    <r>
      <rPr>
        <b/>
        <sz val="12"/>
        <rFont val="Calibri"/>
        <family val="2"/>
      </rPr>
      <t>rouge</t>
    </r>
    <r>
      <rPr>
        <sz val="12"/>
        <rFont val="Calibri"/>
        <family val="2"/>
      </rPr>
      <t>.</t>
    </r>
  </si>
  <si>
    <t>✅ ÉTAPE 3 — Calculs automatiques</t>
  </si>
  <si>
    <r>
      <t xml:space="preserve">Une fois tous les comptes correctement </t>
    </r>
    <r>
      <rPr>
        <b/>
        <sz val="12"/>
        <rFont val="Calibri"/>
        <family val="2"/>
      </rPr>
      <t>reconnus</t>
    </r>
    <r>
      <rPr>
        <sz val="12"/>
        <rFont val="Calibri"/>
        <family val="2"/>
      </rPr>
      <t xml:space="preserve"> :</t>
    </r>
  </si>
  <si>
    <t>• le coefficient de déduction       de TVA est calculé automatiquement,</t>
  </si>
  <si>
    <r>
      <t xml:space="preserve">• le résultat fiscal       </t>
    </r>
    <r>
      <rPr>
        <b/>
        <sz val="12"/>
        <rFont val="Calibri"/>
        <family val="2"/>
      </rPr>
      <t>avant corrections manuelles</t>
    </r>
    <r>
      <rPr>
        <sz val="12"/>
        <rFont val="Calibri"/>
        <family val="2"/>
      </rPr>
      <t xml:space="preserve"> est déterminé sur la base du résultat comptable retraité.</t>
    </r>
  </si>
  <si>
    <t>✍️ ÉTAPE 4 — Complément manuel des corrections fiscales</t>
  </si>
  <si>
    <r>
      <t xml:space="preserve">Certaines opérations nécessitent une </t>
    </r>
    <r>
      <rPr>
        <b/>
        <sz val="12"/>
        <rFont val="Calibri"/>
        <family val="2"/>
      </rPr>
      <t>saisie manuelle</t>
    </r>
    <r>
      <rPr>
        <sz val="12"/>
        <rFont val="Calibri"/>
        <family val="2"/>
      </rPr>
      <t xml:space="preserve"> dans l'onglet                                               pour obtenir le résultat fiscal final :</t>
    </r>
  </si>
  <si>
    <t>• Amendes et pénalités,</t>
  </si>
  <si>
    <t>• Dons partiellement déductibles,</t>
  </si>
  <si>
    <t>• Charges somptuaires,</t>
  </si>
  <si>
    <t>• Etc.</t>
  </si>
  <si>
    <r>
      <t xml:space="preserve">Ces éléments sont à saisir dans la section </t>
    </r>
    <r>
      <rPr>
        <b/>
        <sz val="12"/>
        <rFont val="Calibri"/>
        <family val="2"/>
      </rPr>
      <t>Corrections fiscales</t>
    </r>
    <r>
      <rPr>
        <sz val="12"/>
        <rFont val="Calibri"/>
        <family val="2"/>
      </rPr>
      <t>. Le résultat fiscal net est mis à jour automatiquement.</t>
    </r>
  </si>
  <si>
    <t>EXEMPLE PCG DES COMPTES DE CHARGES ET DE PRODUITS</t>
  </si>
  <si>
    <t>Compte</t>
  </si>
  <si>
    <t>Libellé du compte</t>
  </si>
  <si>
    <t>Domaine</t>
  </si>
  <si>
    <t>Catégorie TVA</t>
  </si>
  <si>
    <t>Clé répartition</t>
  </si>
  <si>
    <t>T - Achats matières premières - Production</t>
  </si>
  <si>
    <t>PRODUCTION</t>
  </si>
  <si>
    <t>T - Variation stock matière première - Production</t>
  </si>
  <si>
    <t>M - Variation stock fourniture de bureau et d'entretien - Mutualisé</t>
  </si>
  <si>
    <t>FONCTIONNEMENT GÉNÉRAL</t>
  </si>
  <si>
    <t>T - Sous-traitance technique - Production</t>
  </si>
  <si>
    <t>M - Électricité</t>
  </si>
  <si>
    <t>M - Carburant véhicules</t>
  </si>
  <si>
    <t>M - Achats de fournitures et petits équipements - Mutualisé</t>
  </si>
  <si>
    <t>NT - Fournitures - Pédagogique</t>
  </si>
  <si>
    <t>PÉDAGOGIE</t>
  </si>
  <si>
    <t>T - Petits équipements et consommables - Production</t>
  </si>
  <si>
    <t>M - Fournitures administratives - Mutualisé</t>
  </si>
  <si>
    <t>T - Gaz - Production</t>
  </si>
  <si>
    <t>T - Combustible industriel - Production</t>
  </si>
  <si>
    <t>T - Vêtements de travail et EPI - Production</t>
  </si>
  <si>
    <t>M - Loyers immobiliers</t>
  </si>
  <si>
    <t>M - Location de véhicule</t>
  </si>
  <si>
    <t>M - Locations diverses (matériel, mobilier, etc)</t>
  </si>
  <si>
    <t>T - Location de matériel - Production</t>
  </si>
  <si>
    <t>M - Charges locatives copropriétés</t>
  </si>
  <si>
    <t>M - Entretien et réparation - biens immobiliers - Mutualisé</t>
  </si>
  <si>
    <t>NT - Entretien - Pédagogique</t>
  </si>
  <si>
    <t>T - Entretien - Production</t>
  </si>
  <si>
    <t>M - Assurances</t>
  </si>
  <si>
    <t>M - Documentation générale</t>
  </si>
  <si>
    <t>M - Personnel intérimaire - Administratif</t>
  </si>
  <si>
    <t>NT - Vacataires pédagogiques - Intervenants extérieurs</t>
  </si>
  <si>
    <t>T - Personnel intérimaire - Maître professionnel</t>
  </si>
  <si>
    <t>M - Honoraires comptables</t>
  </si>
  <si>
    <t>M - Autres honoraires</t>
  </si>
  <si>
    <t>M - Frais d'actes et de contentieux</t>
  </si>
  <si>
    <t>NT - Publicité et communication à vocation éducative</t>
  </si>
  <si>
    <t>M - Catalogues et imprimés</t>
  </si>
  <si>
    <t>M - Cadeaux usagers</t>
  </si>
  <si>
    <t>M - Transports sur achats</t>
  </si>
  <si>
    <t>M - Frais de déplacement et missions</t>
  </si>
  <si>
    <t>M - Voyages et déplacements</t>
  </si>
  <si>
    <t>NT - Sorties scolaires</t>
  </si>
  <si>
    <t>M - Missions et réceptions</t>
  </si>
  <si>
    <t>M - Téléphonie et Internet</t>
  </si>
  <si>
    <t>M - Abonnement télésurveillance</t>
  </si>
  <si>
    <t>M - Affranchissement</t>
  </si>
  <si>
    <t>M - Hébergement web</t>
  </si>
  <si>
    <t>M - Services bancaires</t>
  </si>
  <si>
    <t>NT - Formations pédagogiques</t>
  </si>
  <si>
    <t>NT - Abonnement informatique</t>
  </si>
  <si>
    <t>NT - Abonnement Pronote</t>
  </si>
  <si>
    <t>M - Cotisations syndicales et autres</t>
  </si>
  <si>
    <t>M - Taxe d’apprentissage</t>
  </si>
  <si>
    <t>M - Formation continue</t>
  </si>
  <si>
    <t>NT - Tva non récupérable</t>
  </si>
  <si>
    <t>M - Salaires - Personnel administratif</t>
  </si>
  <si>
    <t>NT - Salaires - Personnel éducatif</t>
  </si>
  <si>
    <t>T - Salaires - Maître professionnel</t>
  </si>
  <si>
    <t>M - Provision congés payés - Personnel administratif</t>
  </si>
  <si>
    <t>NT - Provision congés payés - Personnel éducatif</t>
  </si>
  <si>
    <t>T - Provision congés payés - Maître professionnel</t>
  </si>
  <si>
    <t>M - Charges sociales - Personnel administratif</t>
  </si>
  <si>
    <t>NT - Charges sociales - Personnel éducatif</t>
  </si>
  <si>
    <t>T - Charges sociales - Maître professionnel</t>
  </si>
  <si>
    <t>M - Intérêts sur emprunts bancaires</t>
  </si>
  <si>
    <t>M - Valeurs comptables des éléments d’actifs cédés - Mutualisé</t>
  </si>
  <si>
    <t>NT - Valeurs comptables des éléments d’actifs cédés - Pédagogique</t>
  </si>
  <si>
    <t>T - Valeurs comptables des éléments d’actifs cédés - Production</t>
  </si>
  <si>
    <t>M - Charges exceptionnelles diverses</t>
  </si>
  <si>
    <t>M - Dotations aux amortissements sur immobilisations - Mutualisé</t>
  </si>
  <si>
    <t>NT - Dotations aux amortissements sur immobilisations - Pédagogique</t>
  </si>
  <si>
    <t>T - Dotations aux amortissements sur immobilisations - Production</t>
  </si>
  <si>
    <t>T - Prestations de services 5,5%</t>
  </si>
  <si>
    <t>Champ avec droit à déduction</t>
  </si>
  <si>
    <t>T - Prestations de services 10%</t>
  </si>
  <si>
    <t>T - Prestations de services 20%</t>
  </si>
  <si>
    <t>T - Prestations de services exonérées</t>
  </si>
  <si>
    <t>T - Ventes de marchandises 5,5%</t>
  </si>
  <si>
    <t>T - Ventes de marchandises 10%</t>
  </si>
  <si>
    <t>T - Ventes de marchandises 20%</t>
  </si>
  <si>
    <t>T - Ventes de marchandises exonérées</t>
  </si>
  <si>
    <t>T - Variation des produits en cours</t>
  </si>
  <si>
    <t>T - Variation des travaux en cours</t>
  </si>
  <si>
    <t>NT - Production immobilisée école</t>
  </si>
  <si>
    <t>Hors champ TVA ou exclu légalement</t>
  </si>
  <si>
    <t>T - Production immobilisée atelier</t>
  </si>
  <si>
    <t>M - Taxe d'apprentissage perçue – Mutualisé</t>
  </si>
  <si>
    <t>M - Subventions de fonctionnement – Mutualisé</t>
  </si>
  <si>
    <t>NT -  Subventions de fonctionnement – Pédagogique</t>
  </si>
  <si>
    <t>NT - Subventions de fonctionnement avec contrepartie – Pédagogique</t>
  </si>
  <si>
    <t>Champ sans droit à déduction</t>
  </si>
  <si>
    <t>T - Subventions de fonctionnement – Production</t>
  </si>
  <si>
    <t>T - Subventions de fonctionnement avec contrepartie – Production</t>
  </si>
  <si>
    <t>M - QP éléments fonds propres virés compte résultat - Mutualisé</t>
  </si>
  <si>
    <t>NT - QP éléments fonds propres virés compte résultat - Pédagogique</t>
  </si>
  <si>
    <t>T - QP éléments fonds propres virés compte résultat - Production</t>
  </si>
  <si>
    <t>M - Dons manuels</t>
  </si>
  <si>
    <t>M - Mécénats</t>
  </si>
  <si>
    <t>NT - Cotisations scolaires</t>
  </si>
  <si>
    <t>T - Adhésions - entreprises</t>
  </si>
  <si>
    <t>M - Produits des cessions d’éléments d’actifs - Mutualisé</t>
  </si>
  <si>
    <t>NT - Produits des cessions d’éléments d’actifs - Pédagogique</t>
  </si>
  <si>
    <t>T - Produits des cessions d’éléments d’actifs - Production</t>
  </si>
  <si>
    <t>M - Produits exceptionnels divers</t>
  </si>
  <si>
    <t>PLAN COMPTABLE SOURCE</t>
  </si>
  <si>
    <t>Comptes à intégrer et à répertorier selon le domaine</t>
  </si>
  <si>
    <t>BALANCE A IMPORTER</t>
  </si>
  <si>
    <t>Faire un copier/coller de la balance comptable</t>
  </si>
  <si>
    <t>Intitulé du compte</t>
  </si>
  <si>
    <t>Débit</t>
  </si>
  <si>
    <t>Crédit</t>
  </si>
  <si>
    <t>CALCUL DU COEFFICIENT DE DÉDUCTION DE TVA</t>
  </si>
  <si>
    <t>Ventilation des Produits</t>
  </si>
  <si>
    <t>Montant (€)</t>
  </si>
  <si>
    <t>Total produits dans le champ à TVA avec droit à déduction</t>
  </si>
  <si>
    <t>Total produits dans le champ à TVA sans droit à déduction</t>
  </si>
  <si>
    <t>Total produits hors champ de la TVA ou exclu légalement</t>
  </si>
  <si>
    <t>Total des produits</t>
  </si>
  <si>
    <t>Coefficient</t>
  </si>
  <si>
    <t>Définition</t>
  </si>
  <si>
    <t>Formule</t>
  </si>
  <si>
    <t>Valeur</t>
  </si>
  <si>
    <t>Coefficient de taxation (CoT)</t>
  </si>
  <si>
    <t>Représente la part des opérations dans le champ de la TVA ouvrant droit à déduction par rapport à l’ensemble des opérations dans le champ (avec et sans droit).</t>
  </si>
  <si>
    <t>CoT = Recettes avec droit / (Recettes avec + sans droit à déduction)</t>
  </si>
  <si>
    <t>Coefficient d'assujettissement (CoAS)</t>
  </si>
  <si>
    <t>Représente la part d’utilisation du bien ou service dans une activité économique (vs. hors champ). Ici fixé à 2/3, car les élèves sont 2/3 du temps en production, donc affectés à une activité taxable.</t>
  </si>
  <si>
    <t>CoAS = 2 / 3</t>
  </si>
  <si>
    <t>Coefficient d'admission (CoAD)</t>
  </si>
  <si>
    <t>Tient compte des restrictions légales à la déductibilité (ex. : véhicules de tourisme). Valeur par défaut.</t>
  </si>
  <si>
    <t>CoAD = 1, sauf exception légale</t>
  </si>
  <si>
    <t>Coefficient de déduction (CoD)</t>
  </si>
  <si>
    <t>Taux global de déductibilité de TVA sur les dépenses communes.</t>
  </si>
  <si>
    <t>CoD = CoT × CoAS × CoAD</t>
  </si>
  <si>
    <t>Ventilation fiscale CoT</t>
  </si>
  <si>
    <t>CALCUL DU RÉSULTAT FISCAL</t>
  </si>
  <si>
    <t>ÉTAPES</t>
  </si>
  <si>
    <t>Résultat comptable avant retraitement</t>
  </si>
  <si>
    <t>- Produits non imposables (NT)</t>
  </si>
  <si>
    <t>- Quote-part produits mutualisés (M) non imposables (1/3)</t>
  </si>
  <si>
    <t>+ Charges non déductibles (NT)</t>
  </si>
  <si>
    <t>+ Quote-part charges mutualisées (M) non déductibles (1/3)</t>
  </si>
  <si>
    <t>RÉSULTAT FISCAL AVANT CORRECTIONS</t>
  </si>
  <si>
    <t>Corrections fiscales (A compléter manuellement selon analyse comptable)</t>
  </si>
  <si>
    <t>Réintégration (€)</t>
  </si>
  <si>
    <t>Déduction (€)</t>
  </si>
  <si>
    <t>Amendes et pénalités non déductibles</t>
  </si>
  <si>
    <t>Dons (partiellement déductibles selon les règles)</t>
  </si>
  <si>
    <t>Charges somptuaires</t>
  </si>
  <si>
    <t>Provisions non déductibles</t>
  </si>
  <si>
    <t>Zone libre à compléter</t>
  </si>
  <si>
    <t>Total</t>
  </si>
  <si>
    <t>RÉSULTAT FISCAL 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</si>
</sst>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sz val="11"/>
      <name val="Calibri"/>
      <family val="2"/>
    </font>
    <font>
      <b/>
      <sz val="18"/>
      <color rgb="FF333333"/>
      <name val="Calibri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name val="Calibri"/>
      <family val="2"/>
    </font>
    <font>
      <b/>
      <sz val="13"/>
      <name val="Calibri"/>
      <family val="2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8"/>
      <color theme="0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D700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9D7F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9B9B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/>
    <xf numFmtId="9" fontId="2" fillId="0" borderId="0"/>
    <xf numFmtId="0" fontId="3" fillId="0" borderId="0"/>
    <xf numFmtId="43" fontId="2" fillId="0" borderId="0" applyFon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6" fillId="0" borderId="0" xfId="0" applyFont="1" applyAlignment="1">
      <alignment wrapText="1"/>
    </xf>
    <xf numFmtId="0" fontId="7" fillId="2" borderId="1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0" fillId="0" borderId="2" xfId="0" applyBorder="1"/>
    <xf numFmtId="0" fontId="12" fillId="0" borderId="3" xfId="0" applyFont="1" applyBorder="1"/>
    <xf numFmtId="0" fontId="0" fillId="0" borderId="0" xfId="0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43" fontId="10" fillId="8" borderId="0" xfId="6" applyFont="1" applyFill="1" applyAlignment="1">
      <alignment horizontal="center" vertical="center" wrapText="1"/>
    </xf>
    <xf numFmtId="43" fontId="12" fillId="0" borderId="0" xfId="6" applyFont="1"/>
    <xf numFmtId="43" fontId="0" fillId="0" borderId="0" xfId="6" applyFont="1"/>
    <xf numFmtId="0" fontId="4" fillId="0" borderId="3" xfId="0" applyFont="1" applyBorder="1"/>
    <xf numFmtId="2" fontId="12" fillId="0" borderId="0" xfId="0" applyNumberFormat="1" applyFont="1"/>
    <xf numFmtId="0" fontId="16" fillId="0" borderId="3" xfId="0" applyFont="1" applyBorder="1"/>
    <xf numFmtId="2" fontId="17" fillId="0" borderId="3" xfId="0" applyNumberFormat="1" applyFont="1" applyBorder="1"/>
    <xf numFmtId="0" fontId="17" fillId="0" borderId="3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/>
    <xf numFmtId="43" fontId="12" fillId="0" borderId="3" xfId="6" applyFont="1" applyBorder="1"/>
    <xf numFmtId="0" fontId="18" fillId="10" borderId="3" xfId="0" applyFont="1" applyFill="1" applyBorder="1" applyProtection="1">
      <protection locked="0"/>
    </xf>
    <xf numFmtId="4" fontId="4" fillId="0" borderId="3" xfId="6" applyNumberFormat="1" applyFont="1" applyBorder="1" applyAlignment="1"/>
    <xf numFmtId="4" fontId="14" fillId="10" borderId="3" xfId="0" applyNumberFormat="1" applyFont="1" applyFill="1" applyBorder="1" applyProtection="1">
      <protection locked="0"/>
    </xf>
    <xf numFmtId="0" fontId="15" fillId="11" borderId="5" xfId="0" applyFont="1" applyFill="1" applyBorder="1"/>
    <xf numFmtId="4" fontId="11" fillId="10" borderId="3" xfId="0" applyNumberFormat="1" applyFont="1" applyFill="1" applyBorder="1" applyProtection="1">
      <protection locked="0"/>
    </xf>
    <xf numFmtId="0" fontId="11" fillId="10" borderId="3" xfId="0" applyFont="1" applyFill="1" applyBorder="1" applyProtection="1">
      <protection locked="0"/>
    </xf>
    <xf numFmtId="2" fontId="11" fillId="10" borderId="3" xfId="0" applyNumberFormat="1" applyFont="1" applyFill="1" applyBorder="1" applyProtection="1">
      <protection locked="0"/>
    </xf>
    <xf numFmtId="0" fontId="12" fillId="0" borderId="3" xfId="0" quotePrefix="1" applyFont="1" applyBorder="1"/>
    <xf numFmtId="0" fontId="12" fillId="0" borderId="2" xfId="0" applyFont="1" applyBorder="1"/>
    <xf numFmtId="0" fontId="14" fillId="10" borderId="0" xfId="0" applyFont="1" applyFill="1" applyAlignment="1" applyProtection="1">
      <alignment vertical="center" wrapText="1"/>
      <protection locked="0"/>
    </xf>
    <xf numFmtId="0" fontId="20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0" fillId="0" borderId="0" xfId="0" applyAlignment="1">
      <alignment vertical="center"/>
    </xf>
    <xf numFmtId="0" fontId="20" fillId="0" borderId="0" xfId="0" quotePrefix="1" applyFont="1" applyAlignment="1">
      <alignment horizontal="left" vertical="center" wrapText="1" indent="4"/>
    </xf>
    <xf numFmtId="0" fontId="20" fillId="0" borderId="0" xfId="0" applyFont="1" applyAlignment="1">
      <alignment horizontal="left" wrapText="1" indent="4"/>
    </xf>
    <xf numFmtId="0" fontId="14" fillId="0" borderId="0" xfId="0" applyFont="1"/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 indent="4"/>
    </xf>
    <xf numFmtId="0" fontId="20" fillId="0" borderId="0" xfId="0" applyFont="1" applyAlignment="1">
      <alignment horizontal="justify" wrapText="1"/>
    </xf>
    <xf numFmtId="0" fontId="1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23" fillId="0" borderId="0" xfId="0" applyFont="1"/>
    <xf numFmtId="0" fontId="12" fillId="0" borderId="0" xfId="0" applyFont="1" applyAlignment="1">
      <alignment horizontal="left"/>
    </xf>
    <xf numFmtId="43" fontId="12" fillId="0" borderId="0" xfId="6" applyFont="1" applyBorder="1"/>
    <xf numFmtId="0" fontId="4" fillId="9" borderId="3" xfId="0" applyFont="1" applyFill="1" applyBorder="1" applyAlignment="1">
      <alignment vertical="center" wrapText="1"/>
    </xf>
    <xf numFmtId="0" fontId="12" fillId="9" borderId="3" xfId="0" applyFont="1" applyFill="1" applyBorder="1" applyAlignment="1">
      <alignment vertical="center" wrapText="1"/>
    </xf>
    <xf numFmtId="16" fontId="12" fillId="9" borderId="3" xfId="0" applyNumberFormat="1" applyFont="1" applyFill="1" applyBorder="1" applyAlignment="1">
      <alignment vertical="center" wrapText="1"/>
    </xf>
    <xf numFmtId="0" fontId="4" fillId="9" borderId="3" xfId="0" applyFont="1" applyFill="1" applyBorder="1" applyAlignment="1">
      <alignment horizontal="center" vertical="center" wrapText="1"/>
    </xf>
    <xf numFmtId="10" fontId="4" fillId="9" borderId="3" xfId="1" applyNumberFormat="1" applyFont="1" applyFill="1" applyBorder="1" applyAlignment="1">
      <alignment horizontal="center" vertical="center"/>
    </xf>
    <xf numFmtId="10" fontId="12" fillId="9" borderId="3" xfId="1" applyNumberFormat="1" applyFont="1" applyFill="1" applyBorder="1" applyAlignment="1">
      <alignment horizontal="center" vertical="center"/>
    </xf>
    <xf numFmtId="10" fontId="12" fillId="9" borderId="9" xfId="1" applyNumberFormat="1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vertical="center" wrapText="1"/>
    </xf>
    <xf numFmtId="10" fontId="4" fillId="9" borderId="8" xfId="1" applyNumberFormat="1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8" fillId="5" borderId="1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/>
    </xf>
    <xf numFmtId="0" fontId="8" fillId="6" borderId="1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left" vertical="center" wrapText="1"/>
    </xf>
    <xf numFmtId="4" fontId="13" fillId="11" borderId="7" xfId="6" applyNumberFormat="1" applyFont="1" applyFill="1" applyBorder="1" applyAlignment="1">
      <alignment horizontal="right"/>
    </xf>
    <xf numFmtId="4" fontId="13" fillId="11" borderId="6" xfId="6" applyNumberFormat="1" applyFont="1" applyFill="1" applyBorder="1" applyAlignment="1">
      <alignment horizontal="right"/>
    </xf>
    <xf numFmtId="0" fontId="9" fillId="7" borderId="1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4" fontId="12" fillId="0" borderId="3" xfId="6" applyNumberFormat="1" applyFont="1" applyBorder="1" applyAlignment="1">
      <alignment horizontal="right"/>
    </xf>
    <xf numFmtId="4" fontId="4" fillId="0" borderId="0" xfId="6" applyNumberFormat="1" applyFont="1" applyBorder="1" applyAlignment="1">
      <alignment horizontal="right"/>
    </xf>
    <xf numFmtId="4" fontId="12" fillId="0" borderId="0" xfId="6" applyNumberFormat="1" applyFont="1" applyAlignment="1">
      <alignment horizontal="right"/>
    </xf>
    <xf numFmtId="4" fontId="4" fillId="0" borderId="3" xfId="6" applyNumberFormat="1" applyFont="1" applyBorder="1" applyAlignment="1">
      <alignment horizontal="right"/>
    </xf>
  </cellXfs>
  <cellStyles count="7">
    <cellStyle name="Milliers" xfId="6" builtinId="3"/>
    <cellStyle name="Normal" xfId="0" builtinId="0"/>
    <cellStyle name="Normal 2" xfId="2" xr:uid="{E2640A6A-88A9-4229-9ED2-0A4A3072717C}"/>
    <cellStyle name="Normal 2 2" xfId="5" xr:uid="{606E986C-B64A-4EB4-8911-A81E298D7247}"/>
    <cellStyle name="Normal 3" xfId="3" xr:uid="{F9B9CEF9-7A69-47EC-8F75-2CC63B73BEDE}"/>
    <cellStyle name="Pourcentage" xfId="1" builtinId="5"/>
    <cellStyle name="Pourcentage 2" xfId="4" xr:uid="{B3789300-0804-44CA-8AC4-D56BA4ED3B28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9D7F2"/>
      <color rgb="FFCC5500"/>
      <color rgb="FFFFFFFF"/>
      <color rgb="FF1A4B8A"/>
      <color rgb="FFFF9B9B"/>
      <color rgb="FFFF7979"/>
      <color rgb="FFEE8564"/>
      <color rgb="FFE4C9FF"/>
      <color rgb="FFCC99FF"/>
      <color rgb="FFFA80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4171950</xdr:colOff>
      <xdr:row>25</xdr:row>
      <xdr:rowOff>190500</xdr:rowOff>
    </xdr:from>
    <xdr:to>
      <xdr:col>0</xdr:col>
      <xdr:colOff>5334162</xdr:colOff>
      <xdr:row>27</xdr:row>
      <xdr:rowOff>19082</xdr:rowOff>
    </xdr:to>
    <xdr:pic>
      <xdr:nvPicPr>
        <xdr:cNvPr id="20" name="Image 3">
          <a:extLst>
            <a:ext uri="{FF2B5EF4-FFF2-40B4-BE49-F238E27FC236}">
              <a16:creationId xmlns:a16="http://schemas.microsoft.com/office/drawing/2014/main" i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1950" y="6772275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3829050</xdr:colOff>
      <xdr:row>24</xdr:row>
      <xdr:rowOff>0</xdr:rowOff>
    </xdr:from>
    <xdr:to>
      <xdr:col>0</xdr:col>
      <xdr:colOff>5543789</xdr:colOff>
      <xdr:row>25</xdr:row>
      <xdr:rowOff>9554</xdr:rowOff>
    </xdr:to>
    <xdr:pic>
      <xdr:nvPicPr>
        <xdr:cNvPr id="21" name="Image 4">
          <a:extLst>
            <a:ext uri="{FF2B5EF4-FFF2-40B4-BE49-F238E27FC236}">
              <a16:creationId xmlns:a16="http://schemas.microsoft.com/office/drawing/2014/main" id="{56D2F494-D6ED-1444-BCF7-6359A2E15929}"/>
            </a:ext>
            <a:ext uri="{147F2762-F138-4A5C-976F-8EAC2B608ADB}">
              <a16:predDERef xmlns:a16="http://schemas.microsoft.com/office/drawing/2014/main" pre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29050" y="63817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1819275</xdr:colOff>
      <xdr:row>30</xdr:row>
      <xdr:rowOff>0</xdr:rowOff>
    </xdr:from>
    <xdr:to>
      <xdr:col>0</xdr:col>
      <xdr:colOff>3534014</xdr:colOff>
      <xdr:row>31</xdr:row>
      <xdr:rowOff>9554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F30FFC0-FB9F-1780-287B-E244E796E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9275" y="71818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46</xdr:row>
      <xdr:rowOff>0</xdr:rowOff>
    </xdr:from>
    <xdr:to>
      <xdr:col>0</xdr:col>
      <xdr:colOff>1438437</xdr:colOff>
      <xdr:row>46</xdr:row>
      <xdr:rowOff>228632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1A1332B2-3D40-43EA-AFA4-7CE52C7AE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0382250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3067050</xdr:colOff>
      <xdr:row>50</xdr:row>
      <xdr:rowOff>0</xdr:rowOff>
    </xdr:from>
    <xdr:to>
      <xdr:col>0</xdr:col>
      <xdr:colOff>4438841</xdr:colOff>
      <xdr:row>51</xdr:row>
      <xdr:rowOff>19081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6151591-3AB9-1C39-0EC3-153E25C7C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67050" y="11649075"/>
          <a:ext cx="1371791" cy="21910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2286000</xdr:colOff>
      <xdr:row>62</xdr:row>
      <xdr:rowOff>0</xdr:rowOff>
    </xdr:from>
    <xdr:to>
      <xdr:col>0</xdr:col>
      <xdr:colOff>4000739</xdr:colOff>
      <xdr:row>63</xdr:row>
      <xdr:rowOff>9554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36649F84-6737-4D70-84C4-C2A9C9B4A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0" y="140493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2362200</xdr:colOff>
      <xdr:row>66</xdr:row>
      <xdr:rowOff>0</xdr:rowOff>
    </xdr:from>
    <xdr:to>
      <xdr:col>0</xdr:col>
      <xdr:colOff>4076939</xdr:colOff>
      <xdr:row>67</xdr:row>
      <xdr:rowOff>9554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88D001E-ECE6-4C75-A5E5-7894495E8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2200" y="148494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74</xdr:row>
      <xdr:rowOff>0</xdr:rowOff>
    </xdr:from>
    <xdr:to>
      <xdr:col>0</xdr:col>
      <xdr:colOff>2371968</xdr:colOff>
      <xdr:row>75</xdr:row>
      <xdr:rowOff>28607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78F8E3E2-4488-1E3E-8B7D-409EF6CA7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" y="16716375"/>
          <a:ext cx="1743318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76</xdr:row>
      <xdr:rowOff>19050</xdr:rowOff>
    </xdr:from>
    <xdr:to>
      <xdr:col>0</xdr:col>
      <xdr:colOff>1724179</xdr:colOff>
      <xdr:row>77</xdr:row>
      <xdr:rowOff>9552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B38B7A1-AA0E-A382-6D54-8BCAB1A75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9125" y="17135475"/>
          <a:ext cx="1105054" cy="190527"/>
        </a:xfrm>
        <a:prstGeom prst="rect">
          <a:avLst/>
        </a:prstGeom>
      </xdr:spPr>
    </xdr:pic>
    <xdr:clientData/>
  </xdr:twoCellAnchor>
  <xdr:twoCellAnchor editAs="oneCell">
    <xdr:from>
      <xdr:col>0</xdr:col>
      <xdr:colOff>4229100</xdr:colOff>
      <xdr:row>79</xdr:row>
      <xdr:rowOff>200024</xdr:rowOff>
    </xdr:from>
    <xdr:to>
      <xdr:col>0</xdr:col>
      <xdr:colOff>5915260</xdr:colOff>
      <xdr:row>81</xdr:row>
      <xdr:rowOff>9557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7599B0EB-5BFF-3D90-18FD-B8CB24D0D1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11998"/>
        <a:stretch>
          <a:fillRect/>
        </a:stretch>
      </xdr:blipFill>
      <xdr:spPr>
        <a:xfrm>
          <a:off x="4229100" y="18183224"/>
          <a:ext cx="1686160" cy="209583"/>
        </a:xfrm>
        <a:prstGeom prst="rect">
          <a:avLst/>
        </a:prstGeom>
      </xdr:spPr>
    </xdr:pic>
    <xdr:clientData/>
  </xdr:twoCellAnchor>
  <xdr:twoCellAnchor editAs="oneCell">
    <xdr:from>
      <xdr:col>0</xdr:col>
      <xdr:colOff>2124075</xdr:colOff>
      <xdr:row>56</xdr:row>
      <xdr:rowOff>0</xdr:rowOff>
    </xdr:from>
    <xdr:to>
      <xdr:col>0</xdr:col>
      <xdr:colOff>3629235</xdr:colOff>
      <xdr:row>57</xdr:row>
      <xdr:rowOff>38133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DD947A9-A0B0-5FC5-BD17-4AE33F17C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24075" y="12849225"/>
          <a:ext cx="1505160" cy="2381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1</xdr:row>
      <xdr:rowOff>47625</xdr:rowOff>
    </xdr:from>
    <xdr:to>
      <xdr:col>4</xdr:col>
      <xdr:colOff>9525</xdr:colOff>
      <xdr:row>1</xdr:row>
      <xdr:rowOff>285750</xdr:rowOff>
    </xdr:to>
    <xdr:sp macro="[0]!ConvertirEtFormaterValeurs_F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838E6A6-1DD9-0EBB-CF0D-365FAB9A032F}"/>
            </a:ext>
          </a:extLst>
        </xdr:cNvPr>
        <xdr:cNvSpPr/>
      </xdr:nvSpPr>
      <xdr:spPr>
        <a:xfrm>
          <a:off x="4914900" y="771525"/>
          <a:ext cx="1514475" cy="238125"/>
        </a:xfrm>
        <a:prstGeom prst="roundRect">
          <a:avLst/>
        </a:prstGeom>
        <a:solidFill>
          <a:srgbClr val="CC55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1"/>
        </a:lnRef>
        <a:fillRef idx="1001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t"/>
        <a:lstStyle/>
        <a:p>
          <a:pPr algn="ctr"/>
          <a:r>
            <a:rPr lang="fr-FR" sz="1200" b="1">
              <a:solidFill>
                <a:srgbClr val="FFFFFF"/>
              </a:solidFill>
            </a:rPr>
            <a:t>Formater les colonnes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rgb="FFC9D7F2"/>
    <pageSetUpPr fitToPage="1"/>
  </sheetPr>
  <dimension ref="A1:A93"/>
  <sheetViews>
    <sheetView showGridLines="0" tabSelected="1" workbookViewId="0"/>
  </sheetViews>
  <sheetFormatPr baseColWidth="10" defaultColWidth="99.5703125" defaultRowHeight="20.25" customHeight="1" x14ac:dyDescent="0.25"/>
  <cols>
    <col min="1" max="1" width="127.5703125" bestFit="1" customWidth="1"/>
  </cols>
  <sheetData>
    <row r="1" spans="1:1" ht="57" customHeight="1" x14ac:dyDescent="0.25">
      <c r="A1" s="4" t="s">
        <v>0</v>
      </c>
    </row>
    <row r="2" spans="1:1" ht="20.25" customHeight="1" x14ac:dyDescent="0.25">
      <c r="A2" s="3"/>
    </row>
    <row r="3" spans="1:1" ht="36.950000000000003" customHeight="1" x14ac:dyDescent="0.25">
      <c r="A3" s="5" t="s">
        <v>1</v>
      </c>
    </row>
    <row r="4" spans="1:1" ht="15.75" x14ac:dyDescent="0.25">
      <c r="A4" s="34"/>
    </row>
    <row r="5" spans="1:1" ht="15.75" x14ac:dyDescent="0.25">
      <c r="A5" s="32" t="s">
        <v>2</v>
      </c>
    </row>
    <row r="6" spans="1:1" ht="15.75" x14ac:dyDescent="0.25">
      <c r="A6" s="33"/>
    </row>
    <row r="7" spans="1:1" ht="15.75" x14ac:dyDescent="0.25">
      <c r="A7" s="32" t="s">
        <v>3</v>
      </c>
    </row>
    <row r="8" spans="1:1" ht="15.75" x14ac:dyDescent="0.25">
      <c r="A8" s="33"/>
    </row>
    <row r="9" spans="1:1" ht="15.75" x14ac:dyDescent="0.25">
      <c r="A9" s="42" t="s">
        <v>4</v>
      </c>
    </row>
    <row r="10" spans="1:1" ht="15.75" x14ac:dyDescent="0.25">
      <c r="A10" s="32"/>
    </row>
    <row r="11" spans="1:1" ht="15.75" x14ac:dyDescent="0.25">
      <c r="A11" s="31" t="s">
        <v>5</v>
      </c>
    </row>
    <row r="12" spans="1:1" ht="15.75" x14ac:dyDescent="0.25">
      <c r="A12" s="32"/>
    </row>
    <row r="13" spans="1:1" ht="31.5" x14ac:dyDescent="0.25">
      <c r="A13" s="33" t="s">
        <v>6</v>
      </c>
    </row>
    <row r="14" spans="1:1" ht="15.75" x14ac:dyDescent="0.25">
      <c r="A14" s="32"/>
    </row>
    <row r="15" spans="1:1" ht="36.950000000000003" customHeight="1" x14ac:dyDescent="0.25">
      <c r="A15" s="5" t="s">
        <v>7</v>
      </c>
    </row>
    <row r="16" spans="1:1" s="35" customFormat="1" ht="15.75" x14ac:dyDescent="0.25">
      <c r="A16" s="32"/>
    </row>
    <row r="17" spans="1:1" s="35" customFormat="1" ht="15.75" x14ac:dyDescent="0.25">
      <c r="A17" s="32" t="s">
        <v>8</v>
      </c>
    </row>
    <row r="18" spans="1:1" s="35" customFormat="1" ht="15.75" x14ac:dyDescent="0.25">
      <c r="A18" s="32"/>
    </row>
    <row r="19" spans="1:1" s="35" customFormat="1" ht="15.75" x14ac:dyDescent="0.25">
      <c r="A19" s="36" t="s">
        <v>9</v>
      </c>
    </row>
    <row r="20" spans="1:1" s="35" customFormat="1" ht="15.75" x14ac:dyDescent="0.25">
      <c r="A20" s="36"/>
    </row>
    <row r="21" spans="1:1" s="35" customFormat="1" ht="15.75" x14ac:dyDescent="0.25">
      <c r="A21" s="36" t="s">
        <v>10</v>
      </c>
    </row>
    <row r="22" spans="1:1" s="35" customFormat="1" ht="15.75" x14ac:dyDescent="0.25">
      <c r="A22" s="32"/>
    </row>
    <row r="23" spans="1:1" ht="36.950000000000003" customHeight="1" x14ac:dyDescent="0.25">
      <c r="A23" s="5" t="s">
        <v>11</v>
      </c>
    </row>
    <row r="24" spans="1:1" ht="15.75" x14ac:dyDescent="0.25">
      <c r="A24" s="32"/>
    </row>
    <row r="25" spans="1:1" ht="15.75" x14ac:dyDescent="0.25">
      <c r="A25" s="32" t="s">
        <v>12</v>
      </c>
    </row>
    <row r="26" spans="1:1" ht="15.75" x14ac:dyDescent="0.25">
      <c r="A26" s="32"/>
    </row>
    <row r="27" spans="1:1" ht="15.75" x14ac:dyDescent="0.25">
      <c r="A27" s="36" t="s">
        <v>13</v>
      </c>
    </row>
    <row r="28" spans="1:1" ht="15.75" x14ac:dyDescent="0.25">
      <c r="A28" s="36"/>
    </row>
    <row r="29" spans="1:1" ht="15.75" x14ac:dyDescent="0.25">
      <c r="A29" s="40" t="s">
        <v>14</v>
      </c>
    </row>
    <row r="30" spans="1:1" ht="15.75" x14ac:dyDescent="0.25">
      <c r="A30" s="39"/>
    </row>
    <row r="31" spans="1:1" ht="15.75" x14ac:dyDescent="0.25">
      <c r="A31" s="32" t="s">
        <v>15</v>
      </c>
    </row>
    <row r="32" spans="1:1" ht="15.75" x14ac:dyDescent="0.25">
      <c r="A32" s="32"/>
    </row>
    <row r="33" spans="1:1" ht="15.75" x14ac:dyDescent="0.25">
      <c r="A33" s="32" t="s">
        <v>16</v>
      </c>
    </row>
    <row r="34" spans="1:1" ht="15.75" x14ac:dyDescent="0.25">
      <c r="A34" s="32"/>
    </row>
    <row r="35" spans="1:1" ht="15.75" x14ac:dyDescent="0.25">
      <c r="A35" s="36" t="s">
        <v>17</v>
      </c>
    </row>
    <row r="36" spans="1:1" ht="15.75" x14ac:dyDescent="0.25">
      <c r="A36" s="36"/>
    </row>
    <row r="37" spans="1:1" ht="15.75" x14ac:dyDescent="0.25">
      <c r="A37" s="36" t="s">
        <v>18</v>
      </c>
    </row>
    <row r="38" spans="1:1" ht="15.75" x14ac:dyDescent="0.25">
      <c r="A38" s="36"/>
    </row>
    <row r="39" spans="1:1" ht="15.75" x14ac:dyDescent="0.25">
      <c r="A39" s="36" t="s">
        <v>19</v>
      </c>
    </row>
    <row r="40" spans="1:1" ht="15.75" x14ac:dyDescent="0.25">
      <c r="A40" s="34"/>
    </row>
    <row r="41" spans="1:1" ht="15.75" x14ac:dyDescent="0.25">
      <c r="A41" s="34" t="s">
        <v>20</v>
      </c>
    </row>
    <row r="42" spans="1:1" ht="15.75" x14ac:dyDescent="0.25">
      <c r="A42" s="34"/>
    </row>
    <row r="43" spans="1:1" ht="15.75" x14ac:dyDescent="0.25">
      <c r="A43" s="37" t="s">
        <v>21</v>
      </c>
    </row>
    <row r="44" spans="1:1" ht="15.75" x14ac:dyDescent="0.25">
      <c r="A44" s="37"/>
    </row>
    <row r="45" spans="1:1" ht="15.75" x14ac:dyDescent="0.25">
      <c r="A45" s="37" t="s">
        <v>22</v>
      </c>
    </row>
    <row r="46" spans="1:1" ht="15.75" x14ac:dyDescent="0.25">
      <c r="A46" s="34"/>
    </row>
    <row r="47" spans="1:1" ht="31.5" x14ac:dyDescent="0.25">
      <c r="A47" s="41" t="s">
        <v>23</v>
      </c>
    </row>
    <row r="48" spans="1:1" ht="15.75" x14ac:dyDescent="0.25">
      <c r="A48" s="34"/>
    </row>
    <row r="49" spans="1:1" ht="36.950000000000003" customHeight="1" x14ac:dyDescent="0.25">
      <c r="A49" s="5" t="s">
        <v>24</v>
      </c>
    </row>
    <row r="50" spans="1:1" ht="15.75" x14ac:dyDescent="0.25">
      <c r="A50" s="32"/>
    </row>
    <row r="51" spans="1:1" ht="15.75" x14ac:dyDescent="0.25">
      <c r="A51" s="32" t="s">
        <v>25</v>
      </c>
    </row>
    <row r="52" spans="1:1" ht="15.75" x14ac:dyDescent="0.25">
      <c r="A52" s="32"/>
    </row>
    <row r="53" spans="1:1" ht="15.75" x14ac:dyDescent="0.25">
      <c r="A53" s="43" t="s">
        <v>26</v>
      </c>
    </row>
    <row r="54" spans="1:1" ht="15.75" x14ac:dyDescent="0.25">
      <c r="A54" s="32"/>
    </row>
    <row r="55" spans="1:1" ht="15.75" x14ac:dyDescent="0.25">
      <c r="A55" s="32" t="s">
        <v>27</v>
      </c>
    </row>
    <row r="56" spans="1:1" ht="15.75" x14ac:dyDescent="0.25">
      <c r="A56" s="32"/>
    </row>
    <row r="57" spans="1:1" ht="15.75" x14ac:dyDescent="0.25">
      <c r="A57" s="32" t="s">
        <v>28</v>
      </c>
    </row>
    <row r="58" spans="1:1" ht="15.75" x14ac:dyDescent="0.25">
      <c r="A58" s="32"/>
    </row>
    <row r="59" spans="1:1" ht="15.75" x14ac:dyDescent="0.25">
      <c r="A59" s="32" t="s">
        <v>29</v>
      </c>
    </row>
    <row r="60" spans="1:1" ht="15.75" x14ac:dyDescent="0.25">
      <c r="A60" s="32"/>
    </row>
    <row r="61" spans="1:1" ht="15.75" x14ac:dyDescent="0.25">
      <c r="A61" s="40" t="s">
        <v>30</v>
      </c>
    </row>
    <row r="62" spans="1:1" ht="15.75" x14ac:dyDescent="0.25">
      <c r="A62" s="40"/>
    </row>
    <row r="63" spans="1:1" ht="15.75" x14ac:dyDescent="0.25">
      <c r="A63" s="36" t="s">
        <v>31</v>
      </c>
    </row>
    <row r="64" spans="1:1" ht="15.75" x14ac:dyDescent="0.25">
      <c r="A64" s="32"/>
    </row>
    <row r="65" spans="1:1" ht="15.75" x14ac:dyDescent="0.25">
      <c r="A65" s="32" t="s">
        <v>32</v>
      </c>
    </row>
    <row r="66" spans="1:1" ht="15.75" x14ac:dyDescent="0.25">
      <c r="A66" s="32"/>
    </row>
    <row r="67" spans="1:1" ht="15.75" x14ac:dyDescent="0.25">
      <c r="A67" s="32" t="s">
        <v>33</v>
      </c>
    </row>
    <row r="68" spans="1:1" ht="15.75" x14ac:dyDescent="0.25">
      <c r="A68" s="32"/>
    </row>
    <row r="69" spans="1:1" ht="15.75" x14ac:dyDescent="0.25">
      <c r="A69" s="32" t="s">
        <v>34</v>
      </c>
    </row>
    <row r="70" spans="1:1" ht="15.75" x14ac:dyDescent="0.25">
      <c r="A70" s="32"/>
    </row>
    <row r="71" spans="1:1" ht="36.950000000000003" customHeight="1" x14ac:dyDescent="0.25">
      <c r="A71" s="5" t="s">
        <v>35</v>
      </c>
    </row>
    <row r="72" spans="1:1" ht="15.75" x14ac:dyDescent="0.25">
      <c r="A72" s="32"/>
    </row>
    <row r="73" spans="1:1" ht="15.75" x14ac:dyDescent="0.25">
      <c r="A73" s="32" t="s">
        <v>36</v>
      </c>
    </row>
    <row r="74" spans="1:1" ht="15.75" x14ac:dyDescent="0.25">
      <c r="A74" s="42"/>
    </row>
    <row r="75" spans="1:1" ht="15.75" x14ac:dyDescent="0.25">
      <c r="A75" s="36" t="s">
        <v>37</v>
      </c>
    </row>
    <row r="76" spans="1:1" ht="15.75" x14ac:dyDescent="0.25">
      <c r="A76" s="36"/>
    </row>
    <row r="77" spans="1:1" ht="15.75" x14ac:dyDescent="0.25">
      <c r="A77" s="36" t="s">
        <v>38</v>
      </c>
    </row>
    <row r="78" spans="1:1" ht="15.75" x14ac:dyDescent="0.25">
      <c r="A78" s="32"/>
    </row>
    <row r="79" spans="1:1" ht="36.950000000000003" customHeight="1" x14ac:dyDescent="0.25">
      <c r="A79" s="5" t="s">
        <v>39</v>
      </c>
    </row>
    <row r="80" spans="1:1" ht="15.75" x14ac:dyDescent="0.25">
      <c r="A80" s="34"/>
    </row>
    <row r="81" spans="1:1" ht="15.75" x14ac:dyDescent="0.25">
      <c r="A81" s="32" t="s">
        <v>40</v>
      </c>
    </row>
    <row r="82" spans="1:1" ht="15.75" x14ac:dyDescent="0.25">
      <c r="A82" s="32"/>
    </row>
    <row r="83" spans="1:1" ht="15.75" x14ac:dyDescent="0.25">
      <c r="A83" s="40" t="s">
        <v>41</v>
      </c>
    </row>
    <row r="84" spans="1:1" ht="15.75" x14ac:dyDescent="0.25">
      <c r="A84" s="40"/>
    </row>
    <row r="85" spans="1:1" ht="15.75" x14ac:dyDescent="0.25">
      <c r="A85" s="40" t="s">
        <v>42</v>
      </c>
    </row>
    <row r="86" spans="1:1" ht="15.75" x14ac:dyDescent="0.25">
      <c r="A86" s="40"/>
    </row>
    <row r="87" spans="1:1" ht="15.75" x14ac:dyDescent="0.25">
      <c r="A87" s="40" t="s">
        <v>43</v>
      </c>
    </row>
    <row r="88" spans="1:1" ht="15.75" x14ac:dyDescent="0.25">
      <c r="A88" s="40"/>
    </row>
    <row r="89" spans="1:1" ht="15.75" x14ac:dyDescent="0.25">
      <c r="A89" s="36" t="s">
        <v>44</v>
      </c>
    </row>
    <row r="90" spans="1:1" ht="15.75" x14ac:dyDescent="0.25">
      <c r="A90" s="32"/>
    </row>
    <row r="91" spans="1:1" ht="15.75" x14ac:dyDescent="0.25">
      <c r="A91" s="32" t="s">
        <v>45</v>
      </c>
    </row>
    <row r="92" spans="1:1" ht="15.75" x14ac:dyDescent="0.25">
      <c r="A92" s="38"/>
    </row>
    <row r="93" spans="1:1" ht="20.25" customHeight="1" x14ac:dyDescent="0.25">
      <c r="A93" s="38"/>
    </row>
  </sheetData>
  <sheetProtection sheet="1" selectLockedCells="1" selectUnlockedCells="1"/>
  <conditionalFormatting sqref="A11">
    <cfRule type="expression" priority="2">
      <formula>#REF!</formula>
    </cfRule>
  </conditionalFormatting>
  <conditionalFormatting sqref="A11">
    <cfRule type="expression" dxfId="15" priority="1">
      <formula>ISNA(D11)</formula>
    </cfRule>
  </conditionalFormatting>
  <pageMargins left="0.25" right="0.25" top="0.75" bottom="0.75" header="0.3" footer="0.3"/>
  <pageSetup paperSize="9" scale="8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2E8B57"/>
  </sheetPr>
  <dimension ref="A1:F501"/>
  <sheetViews>
    <sheetView showGridLines="0" workbookViewId="0">
      <pane ySplit="2" topLeftCell="A45" activePane="bottomLeft" state="frozen"/>
      <selection pane="bottomLeft" activeCell="H64" sqref="H64"/>
    </sheetView>
  </sheetViews>
  <sheetFormatPr baseColWidth="10" defaultColWidth="9.140625" defaultRowHeight="15" x14ac:dyDescent="0.25"/>
  <cols>
    <col min="1" max="1" width="10.140625" customWidth="1"/>
    <col min="2" max="2" width="67.85546875" bestFit="1" customWidth="1"/>
    <col min="3" max="3" width="26.85546875" bestFit="1" customWidth="1"/>
    <col min="4" max="4" width="17.5703125" bestFit="1" customWidth="1"/>
    <col min="5" max="5" width="18" bestFit="1" customWidth="1"/>
    <col min="6" max="6" width="9.140625" style="44"/>
  </cols>
  <sheetData>
    <row r="1" spans="1:5" ht="57" customHeight="1" x14ac:dyDescent="0.25">
      <c r="A1" s="56" t="s">
        <v>46</v>
      </c>
      <c r="B1" s="56"/>
      <c r="C1" s="56"/>
      <c r="D1" s="56"/>
      <c r="E1" s="56"/>
    </row>
    <row r="2" spans="1:5" ht="37.5" customHeight="1" x14ac:dyDescent="0.25">
      <c r="A2" s="5" t="s">
        <v>47</v>
      </c>
      <c r="B2" s="5" t="s">
        <v>48</v>
      </c>
      <c r="C2" s="5" t="s">
        <v>49</v>
      </c>
      <c r="D2" s="5" t="s">
        <v>50</v>
      </c>
      <c r="E2" s="5" t="s">
        <v>51</v>
      </c>
    </row>
    <row r="3" spans="1:5" ht="20.25" customHeight="1" x14ac:dyDescent="0.25">
      <c r="A3" s="30">
        <v>60100</v>
      </c>
      <c r="B3" s="30" t="s">
        <v>52</v>
      </c>
      <c r="C3" s="6" t="s">
        <v>53</v>
      </c>
      <c r="D3" s="6" t="str">
        <f>IF(C3="","",IF(C3="PRODUCTION","Taxable (T)",IF(C3="PÉDAGOGIE","Non Taxable (NT)",IF(C3="FONCTIONNEMENT GÉNÉRAL","Mutualisé (M)","ERREUR"))))</f>
        <v>Taxable (T)</v>
      </c>
      <c r="E3" s="6" t="str">
        <f>IF(C3="","",IF(C3="PRODUCTION","T",IF(C3="PÉDAGOGIE","NT",IF(C3="FONCTIONNEMENT GÉNÉRAL","M","ERREUR"))))</f>
        <v>T</v>
      </c>
    </row>
    <row r="4" spans="1:5" ht="20.25" customHeight="1" x14ac:dyDescent="0.25">
      <c r="A4" s="30">
        <v>60310</v>
      </c>
      <c r="B4" s="30" t="s">
        <v>54</v>
      </c>
      <c r="C4" s="6" t="s">
        <v>53</v>
      </c>
      <c r="D4" s="6" t="str">
        <f t="shared" ref="D4:D82" si="0">IF(C4="","",IF(C4="PRODUCTION","Taxable (T)",IF(C4="PÉDAGOGIE","Non Taxable (NT)",IF(C4="FONCTIONNEMENT GÉNÉRAL","Mutualisé (M)","ERREUR"))))</f>
        <v>Taxable (T)</v>
      </c>
      <c r="E4" s="6" t="str">
        <f t="shared" ref="E4:E10" si="1">IF(C4="","",IF(C4="PRODUCTION","T",IF(C4="PÉDAGOGIE","NT",IF(C4="FONCTIONNEMENT GÉNÉRAL","M","ERREUR"))))</f>
        <v>T</v>
      </c>
    </row>
    <row r="5" spans="1:5" ht="20.25" customHeight="1" x14ac:dyDescent="0.25">
      <c r="A5" s="30">
        <v>60320</v>
      </c>
      <c r="B5" s="30" t="s">
        <v>55</v>
      </c>
      <c r="C5" s="6" t="s">
        <v>56</v>
      </c>
      <c r="D5" s="6" t="str">
        <f t="shared" ref="D5" si="2">IF(C5="","",IF(C5="PRODUCTION","Taxable (T)",IF(C5="PÉDAGOGIE","Non Taxable (NT)",IF(C5="FONCTIONNEMENT GÉNÉRAL","Mutualisé (M)","ERREUR"))))</f>
        <v>Mutualisé (M)</v>
      </c>
      <c r="E5" s="6" t="str">
        <f t="shared" ref="E5" si="3">IF(C5="","",IF(C5="PRODUCTION","T",IF(C5="PÉDAGOGIE","NT",IF(C5="FONCTIONNEMENT GÉNÉRAL","M","ERREUR"))))</f>
        <v>M</v>
      </c>
    </row>
    <row r="6" spans="1:5" ht="20.25" customHeight="1" x14ac:dyDescent="0.25">
      <c r="A6" s="30">
        <v>60410</v>
      </c>
      <c r="B6" s="30" t="s">
        <v>57</v>
      </c>
      <c r="C6" s="6" t="s">
        <v>53</v>
      </c>
      <c r="D6" s="6" t="str">
        <f t="shared" si="0"/>
        <v>Taxable (T)</v>
      </c>
      <c r="E6" s="6" t="str">
        <f t="shared" si="1"/>
        <v>T</v>
      </c>
    </row>
    <row r="7" spans="1:5" ht="20.25" customHeight="1" x14ac:dyDescent="0.25">
      <c r="A7" s="30">
        <v>60611</v>
      </c>
      <c r="B7" s="30" t="s">
        <v>58</v>
      </c>
      <c r="C7" s="6" t="s">
        <v>56</v>
      </c>
      <c r="D7" s="6" t="str">
        <f t="shared" si="0"/>
        <v>Mutualisé (M)</v>
      </c>
      <c r="E7" s="6" t="str">
        <f t="shared" si="1"/>
        <v>M</v>
      </c>
    </row>
    <row r="8" spans="1:5" ht="20.25" customHeight="1" x14ac:dyDescent="0.25">
      <c r="A8" s="30">
        <v>60626</v>
      </c>
      <c r="B8" s="30" t="s">
        <v>59</v>
      </c>
      <c r="C8" s="6" t="s">
        <v>56</v>
      </c>
      <c r="D8" s="6" t="str">
        <f t="shared" si="0"/>
        <v>Mutualisé (M)</v>
      </c>
      <c r="E8" s="6" t="str">
        <f t="shared" si="1"/>
        <v>M</v>
      </c>
    </row>
    <row r="9" spans="1:5" ht="20.25" customHeight="1" x14ac:dyDescent="0.25">
      <c r="A9" s="30">
        <v>60630</v>
      </c>
      <c r="B9" s="30" t="s">
        <v>60</v>
      </c>
      <c r="C9" s="6" t="s">
        <v>56</v>
      </c>
      <c r="D9" s="6" t="str">
        <f t="shared" si="0"/>
        <v>Mutualisé (M)</v>
      </c>
      <c r="E9" s="6" t="str">
        <f t="shared" si="1"/>
        <v>M</v>
      </c>
    </row>
    <row r="10" spans="1:5" ht="20.25" customHeight="1" x14ac:dyDescent="0.25">
      <c r="A10" s="30">
        <v>60632</v>
      </c>
      <c r="B10" s="30" t="s">
        <v>61</v>
      </c>
      <c r="C10" s="6" t="s">
        <v>62</v>
      </c>
      <c r="D10" s="6" t="str">
        <f t="shared" si="0"/>
        <v>Non Taxable (NT)</v>
      </c>
      <c r="E10" s="6" t="str">
        <f t="shared" si="1"/>
        <v>NT</v>
      </c>
    </row>
    <row r="11" spans="1:5" ht="20.25" customHeight="1" x14ac:dyDescent="0.25">
      <c r="A11" s="30">
        <v>60631</v>
      </c>
      <c r="B11" s="30" t="s">
        <v>63</v>
      </c>
      <c r="C11" s="6" t="s">
        <v>53</v>
      </c>
      <c r="D11" s="6" t="str">
        <f t="shared" si="0"/>
        <v>Taxable (T)</v>
      </c>
      <c r="E11" s="6" t="str">
        <f t="shared" ref="E11:E93" si="4">IF(C11="","",IF(C11="PRODUCTION","T",IF(C11="PÉDAGOGIE","NT",IF(C11="FONCTIONNEMENT GÉNÉRAL","M","ERREUR"))))</f>
        <v>T</v>
      </c>
    </row>
    <row r="12" spans="1:5" ht="20.25" customHeight="1" x14ac:dyDescent="0.25">
      <c r="A12" s="30">
        <v>60640</v>
      </c>
      <c r="B12" s="30" t="s">
        <v>64</v>
      </c>
      <c r="C12" s="6" t="s">
        <v>56</v>
      </c>
      <c r="D12" s="6" t="str">
        <f t="shared" si="0"/>
        <v>Mutualisé (M)</v>
      </c>
      <c r="E12" s="6" t="str">
        <f t="shared" si="4"/>
        <v>M</v>
      </c>
    </row>
    <row r="13" spans="1:5" ht="20.25" customHeight="1" x14ac:dyDescent="0.25">
      <c r="A13" s="30">
        <v>60650</v>
      </c>
      <c r="B13" s="30" t="s">
        <v>65</v>
      </c>
      <c r="C13" s="6" t="s">
        <v>53</v>
      </c>
      <c r="D13" s="6" t="str">
        <f t="shared" si="0"/>
        <v>Taxable (T)</v>
      </c>
      <c r="E13" s="6" t="str">
        <f t="shared" si="4"/>
        <v>T</v>
      </c>
    </row>
    <row r="14" spans="1:5" ht="20.25" customHeight="1" x14ac:dyDescent="0.25">
      <c r="A14" s="30">
        <v>60660</v>
      </c>
      <c r="B14" s="30" t="s">
        <v>66</v>
      </c>
      <c r="C14" s="6" t="s">
        <v>53</v>
      </c>
      <c r="D14" s="6" t="str">
        <f t="shared" si="0"/>
        <v>Taxable (T)</v>
      </c>
      <c r="E14" s="6" t="str">
        <f t="shared" si="4"/>
        <v>T</v>
      </c>
    </row>
    <row r="15" spans="1:5" ht="20.25" customHeight="1" x14ac:dyDescent="0.25">
      <c r="A15" s="30">
        <v>60690</v>
      </c>
      <c r="B15" s="30" t="s">
        <v>67</v>
      </c>
      <c r="C15" s="6" t="s">
        <v>53</v>
      </c>
      <c r="D15" s="6" t="str">
        <f t="shared" si="0"/>
        <v>Taxable (T)</v>
      </c>
      <c r="E15" s="6" t="str">
        <f t="shared" si="4"/>
        <v>T</v>
      </c>
    </row>
    <row r="16" spans="1:5" ht="20.25" customHeight="1" x14ac:dyDescent="0.25">
      <c r="A16" s="30">
        <v>61320</v>
      </c>
      <c r="B16" s="30" t="s">
        <v>68</v>
      </c>
      <c r="C16" s="6" t="s">
        <v>56</v>
      </c>
      <c r="D16" s="6" t="str">
        <f t="shared" si="0"/>
        <v>Mutualisé (M)</v>
      </c>
      <c r="E16" s="6" t="str">
        <f t="shared" si="4"/>
        <v>M</v>
      </c>
    </row>
    <row r="17" spans="1:5" ht="20.25" customHeight="1" x14ac:dyDescent="0.25">
      <c r="A17" s="30">
        <v>61340</v>
      </c>
      <c r="B17" s="30" t="s">
        <v>69</v>
      </c>
      <c r="C17" s="6" t="s">
        <v>56</v>
      </c>
      <c r="D17" s="6" t="str">
        <f t="shared" si="0"/>
        <v>Mutualisé (M)</v>
      </c>
      <c r="E17" s="6" t="str">
        <f t="shared" si="4"/>
        <v>M</v>
      </c>
    </row>
    <row r="18" spans="1:5" ht="20.25" customHeight="1" x14ac:dyDescent="0.25">
      <c r="A18" s="30">
        <v>61350</v>
      </c>
      <c r="B18" s="30" t="s">
        <v>70</v>
      </c>
      <c r="C18" s="6" t="s">
        <v>56</v>
      </c>
      <c r="D18" s="6" t="str">
        <f t="shared" si="0"/>
        <v>Mutualisé (M)</v>
      </c>
      <c r="E18" s="6" t="str">
        <f t="shared" si="4"/>
        <v>M</v>
      </c>
    </row>
    <row r="19" spans="1:5" ht="20.25" customHeight="1" x14ac:dyDescent="0.25">
      <c r="A19" s="30">
        <v>61360</v>
      </c>
      <c r="B19" s="30" t="s">
        <v>71</v>
      </c>
      <c r="C19" s="6" t="s">
        <v>53</v>
      </c>
      <c r="D19" s="6" t="str">
        <f t="shared" si="0"/>
        <v>Taxable (T)</v>
      </c>
      <c r="E19" s="6" t="str">
        <f t="shared" si="4"/>
        <v>T</v>
      </c>
    </row>
    <row r="20" spans="1:5" ht="20.25" customHeight="1" x14ac:dyDescent="0.25">
      <c r="A20" s="30">
        <v>61400</v>
      </c>
      <c r="B20" s="30" t="s">
        <v>72</v>
      </c>
      <c r="C20" s="6" t="s">
        <v>56</v>
      </c>
      <c r="D20" s="6" t="str">
        <f t="shared" si="0"/>
        <v>Mutualisé (M)</v>
      </c>
      <c r="E20" s="6" t="str">
        <f t="shared" si="4"/>
        <v>M</v>
      </c>
    </row>
    <row r="21" spans="1:5" ht="20.25" customHeight="1" x14ac:dyDescent="0.25">
      <c r="A21" s="30">
        <v>61520</v>
      </c>
      <c r="B21" s="30" t="s">
        <v>73</v>
      </c>
      <c r="C21" s="6" t="s">
        <v>56</v>
      </c>
      <c r="D21" s="6" t="str">
        <f t="shared" si="0"/>
        <v>Mutualisé (M)</v>
      </c>
      <c r="E21" s="6" t="str">
        <f t="shared" si="4"/>
        <v>M</v>
      </c>
    </row>
    <row r="22" spans="1:5" ht="20.25" customHeight="1" x14ac:dyDescent="0.25">
      <c r="A22" s="30">
        <v>61521</v>
      </c>
      <c r="B22" s="30" t="s">
        <v>74</v>
      </c>
      <c r="C22" s="6" t="s">
        <v>62</v>
      </c>
      <c r="D22" s="6" t="str">
        <f t="shared" si="0"/>
        <v>Non Taxable (NT)</v>
      </c>
      <c r="E22" s="6" t="str">
        <f t="shared" si="4"/>
        <v>NT</v>
      </c>
    </row>
    <row r="23" spans="1:5" ht="20.25" customHeight="1" x14ac:dyDescent="0.25">
      <c r="A23" s="30">
        <v>61522</v>
      </c>
      <c r="B23" s="30" t="s">
        <v>75</v>
      </c>
      <c r="C23" s="6" t="s">
        <v>53</v>
      </c>
      <c r="D23" s="6" t="str">
        <f t="shared" si="0"/>
        <v>Taxable (T)</v>
      </c>
      <c r="E23" s="6" t="str">
        <f t="shared" si="4"/>
        <v>T</v>
      </c>
    </row>
    <row r="24" spans="1:5" ht="20.25" customHeight="1" x14ac:dyDescent="0.25">
      <c r="A24" s="30">
        <v>61600</v>
      </c>
      <c r="B24" s="30" t="s">
        <v>76</v>
      </c>
      <c r="C24" s="6" t="s">
        <v>56</v>
      </c>
      <c r="D24" s="6" t="str">
        <f t="shared" si="0"/>
        <v>Mutualisé (M)</v>
      </c>
      <c r="E24" s="6" t="str">
        <f t="shared" si="4"/>
        <v>M</v>
      </c>
    </row>
    <row r="25" spans="1:5" ht="20.25" customHeight="1" x14ac:dyDescent="0.25">
      <c r="A25" s="30">
        <v>61830</v>
      </c>
      <c r="B25" s="30" t="s">
        <v>77</v>
      </c>
      <c r="C25" s="6" t="s">
        <v>56</v>
      </c>
      <c r="D25" s="6" t="str">
        <f t="shared" si="0"/>
        <v>Mutualisé (M)</v>
      </c>
      <c r="E25" s="6" t="str">
        <f t="shared" si="4"/>
        <v>M</v>
      </c>
    </row>
    <row r="26" spans="1:5" ht="20.25" customHeight="1" x14ac:dyDescent="0.25">
      <c r="A26" s="30">
        <v>62110</v>
      </c>
      <c r="B26" s="30" t="s">
        <v>78</v>
      </c>
      <c r="C26" s="6" t="s">
        <v>56</v>
      </c>
      <c r="D26" s="6" t="str">
        <f t="shared" si="0"/>
        <v>Mutualisé (M)</v>
      </c>
      <c r="E26" s="6" t="str">
        <f t="shared" si="4"/>
        <v>M</v>
      </c>
    </row>
    <row r="27" spans="1:5" ht="20.25" customHeight="1" x14ac:dyDescent="0.25">
      <c r="A27" s="30">
        <v>62111</v>
      </c>
      <c r="B27" s="30" t="s">
        <v>79</v>
      </c>
      <c r="C27" s="6" t="s">
        <v>62</v>
      </c>
      <c r="D27" s="6" t="str">
        <f t="shared" si="0"/>
        <v>Non Taxable (NT)</v>
      </c>
      <c r="E27" s="6" t="str">
        <f t="shared" si="4"/>
        <v>NT</v>
      </c>
    </row>
    <row r="28" spans="1:5" ht="20.25" customHeight="1" x14ac:dyDescent="0.25">
      <c r="A28" s="30">
        <v>62112</v>
      </c>
      <c r="B28" s="30" t="s">
        <v>80</v>
      </c>
      <c r="C28" s="6" t="s">
        <v>53</v>
      </c>
      <c r="D28" s="6" t="str">
        <f t="shared" si="0"/>
        <v>Taxable (T)</v>
      </c>
      <c r="E28" s="6" t="str">
        <f t="shared" si="4"/>
        <v>T</v>
      </c>
    </row>
    <row r="29" spans="1:5" ht="20.25" customHeight="1" x14ac:dyDescent="0.25">
      <c r="A29" s="30">
        <v>62260</v>
      </c>
      <c r="B29" s="30" t="s">
        <v>81</v>
      </c>
      <c r="C29" s="6" t="s">
        <v>56</v>
      </c>
      <c r="D29" s="6" t="str">
        <f t="shared" si="0"/>
        <v>Mutualisé (M)</v>
      </c>
      <c r="E29" s="6" t="str">
        <f t="shared" si="4"/>
        <v>M</v>
      </c>
    </row>
    <row r="30" spans="1:5" ht="20.25" customHeight="1" x14ac:dyDescent="0.25">
      <c r="A30" s="30">
        <v>62261</v>
      </c>
      <c r="B30" s="30" t="s">
        <v>82</v>
      </c>
      <c r="C30" s="6" t="s">
        <v>56</v>
      </c>
      <c r="D30" s="6" t="str">
        <f t="shared" si="0"/>
        <v>Mutualisé (M)</v>
      </c>
      <c r="E30" s="6" t="str">
        <f t="shared" si="4"/>
        <v>M</v>
      </c>
    </row>
    <row r="31" spans="1:5" ht="20.25" customHeight="1" x14ac:dyDescent="0.25">
      <c r="A31" s="30">
        <v>62270</v>
      </c>
      <c r="B31" s="30" t="s">
        <v>83</v>
      </c>
      <c r="C31" s="6" t="s">
        <v>56</v>
      </c>
      <c r="D31" s="6" t="str">
        <f t="shared" si="0"/>
        <v>Mutualisé (M)</v>
      </c>
      <c r="E31" s="6" t="str">
        <f t="shared" si="4"/>
        <v>M</v>
      </c>
    </row>
    <row r="32" spans="1:5" ht="20.25" customHeight="1" x14ac:dyDescent="0.25">
      <c r="A32" s="30">
        <v>62310</v>
      </c>
      <c r="B32" s="30" t="s">
        <v>84</v>
      </c>
      <c r="C32" s="6" t="s">
        <v>62</v>
      </c>
      <c r="D32" s="6" t="str">
        <f t="shared" si="0"/>
        <v>Non Taxable (NT)</v>
      </c>
      <c r="E32" s="6" t="str">
        <f t="shared" si="4"/>
        <v>NT</v>
      </c>
    </row>
    <row r="33" spans="1:5" ht="20.25" customHeight="1" x14ac:dyDescent="0.25">
      <c r="A33" s="30">
        <v>62320</v>
      </c>
      <c r="B33" s="30" t="s">
        <v>85</v>
      </c>
      <c r="C33" s="6" t="s">
        <v>56</v>
      </c>
      <c r="D33" s="6" t="str">
        <f t="shared" si="0"/>
        <v>Mutualisé (M)</v>
      </c>
      <c r="E33" s="6" t="str">
        <f t="shared" si="4"/>
        <v>M</v>
      </c>
    </row>
    <row r="34" spans="1:5" ht="20.25" customHeight="1" x14ac:dyDescent="0.25">
      <c r="A34" s="30">
        <v>62340</v>
      </c>
      <c r="B34" s="30" t="s">
        <v>86</v>
      </c>
      <c r="C34" s="6" t="s">
        <v>56</v>
      </c>
      <c r="D34" s="6" t="str">
        <f t="shared" si="0"/>
        <v>Mutualisé (M)</v>
      </c>
      <c r="E34" s="6" t="str">
        <f t="shared" si="4"/>
        <v>M</v>
      </c>
    </row>
    <row r="35" spans="1:5" ht="20.25" customHeight="1" x14ac:dyDescent="0.25">
      <c r="A35" s="30">
        <v>62410</v>
      </c>
      <c r="B35" s="30" t="s">
        <v>87</v>
      </c>
      <c r="C35" s="6" t="s">
        <v>56</v>
      </c>
      <c r="D35" s="6" t="str">
        <f t="shared" si="0"/>
        <v>Mutualisé (M)</v>
      </c>
      <c r="E35" s="6" t="str">
        <f t="shared" si="4"/>
        <v>M</v>
      </c>
    </row>
    <row r="36" spans="1:5" ht="20.25" customHeight="1" x14ac:dyDescent="0.25">
      <c r="A36" s="30">
        <v>62510</v>
      </c>
      <c r="B36" s="30" t="s">
        <v>88</v>
      </c>
      <c r="C36" s="6" t="s">
        <v>56</v>
      </c>
      <c r="D36" s="6" t="str">
        <f t="shared" si="0"/>
        <v>Mutualisé (M)</v>
      </c>
      <c r="E36" s="6" t="str">
        <f t="shared" si="4"/>
        <v>M</v>
      </c>
    </row>
    <row r="37" spans="1:5" ht="20.25" customHeight="1" x14ac:dyDescent="0.25">
      <c r="A37" s="30">
        <v>62520</v>
      </c>
      <c r="B37" s="30" t="s">
        <v>89</v>
      </c>
      <c r="C37" s="6" t="s">
        <v>56</v>
      </c>
      <c r="D37" s="6" t="str">
        <f t="shared" si="0"/>
        <v>Mutualisé (M)</v>
      </c>
      <c r="E37" s="6" t="str">
        <f t="shared" si="4"/>
        <v>M</v>
      </c>
    </row>
    <row r="38" spans="1:5" ht="20.25" customHeight="1" x14ac:dyDescent="0.25">
      <c r="A38" s="30">
        <v>62550</v>
      </c>
      <c r="B38" s="30" t="s">
        <v>90</v>
      </c>
      <c r="C38" s="6" t="s">
        <v>62</v>
      </c>
      <c r="D38" s="6" t="str">
        <f t="shared" si="0"/>
        <v>Non Taxable (NT)</v>
      </c>
      <c r="E38" s="6" t="str">
        <f t="shared" si="4"/>
        <v>NT</v>
      </c>
    </row>
    <row r="39" spans="1:5" ht="20.25" customHeight="1" x14ac:dyDescent="0.25">
      <c r="A39" s="30">
        <v>62560</v>
      </c>
      <c r="B39" s="30" t="s">
        <v>91</v>
      </c>
      <c r="C39" s="6" t="s">
        <v>56</v>
      </c>
      <c r="D39" s="6" t="str">
        <f t="shared" si="0"/>
        <v>Mutualisé (M)</v>
      </c>
      <c r="E39" s="6" t="str">
        <f t="shared" si="4"/>
        <v>M</v>
      </c>
    </row>
    <row r="40" spans="1:5" ht="20.25" customHeight="1" x14ac:dyDescent="0.25">
      <c r="A40" s="30">
        <v>62610</v>
      </c>
      <c r="B40" s="30" t="s">
        <v>92</v>
      </c>
      <c r="C40" s="6" t="s">
        <v>56</v>
      </c>
      <c r="D40" s="6" t="str">
        <f t="shared" si="0"/>
        <v>Mutualisé (M)</v>
      </c>
      <c r="E40" s="6" t="str">
        <f t="shared" si="4"/>
        <v>M</v>
      </c>
    </row>
    <row r="41" spans="1:5" ht="20.25" customHeight="1" x14ac:dyDescent="0.25">
      <c r="A41" s="30">
        <v>62620</v>
      </c>
      <c r="B41" s="30" t="s">
        <v>93</v>
      </c>
      <c r="C41" s="6" t="s">
        <v>56</v>
      </c>
      <c r="D41" s="6" t="str">
        <f t="shared" si="0"/>
        <v>Mutualisé (M)</v>
      </c>
      <c r="E41" s="6" t="str">
        <f t="shared" si="4"/>
        <v>M</v>
      </c>
    </row>
    <row r="42" spans="1:5" ht="20.25" customHeight="1" x14ac:dyDescent="0.25">
      <c r="A42" s="30">
        <v>62640</v>
      </c>
      <c r="B42" s="30" t="s">
        <v>94</v>
      </c>
      <c r="C42" s="6" t="s">
        <v>56</v>
      </c>
      <c r="D42" s="6" t="str">
        <f t="shared" si="0"/>
        <v>Mutualisé (M)</v>
      </c>
      <c r="E42" s="6" t="str">
        <f t="shared" si="4"/>
        <v>M</v>
      </c>
    </row>
    <row r="43" spans="1:5" ht="20.25" customHeight="1" x14ac:dyDescent="0.25">
      <c r="A43" s="30">
        <v>62680</v>
      </c>
      <c r="B43" s="30" t="s">
        <v>95</v>
      </c>
      <c r="C43" s="6" t="s">
        <v>56</v>
      </c>
      <c r="D43" s="6" t="str">
        <f t="shared" si="0"/>
        <v>Mutualisé (M)</v>
      </c>
      <c r="E43" s="6" t="str">
        <f t="shared" si="4"/>
        <v>M</v>
      </c>
    </row>
    <row r="44" spans="1:5" ht="20.25" customHeight="1" x14ac:dyDescent="0.25">
      <c r="A44" s="30">
        <v>62710</v>
      </c>
      <c r="B44" s="30" t="s">
        <v>96</v>
      </c>
      <c r="C44" s="6" t="s">
        <v>56</v>
      </c>
      <c r="D44" s="6" t="str">
        <f t="shared" si="0"/>
        <v>Mutualisé (M)</v>
      </c>
      <c r="E44" s="6" t="str">
        <f t="shared" si="4"/>
        <v>M</v>
      </c>
    </row>
    <row r="45" spans="1:5" ht="20.25" customHeight="1" x14ac:dyDescent="0.25">
      <c r="A45" s="30">
        <v>62810</v>
      </c>
      <c r="B45" s="30" t="s">
        <v>97</v>
      </c>
      <c r="C45" s="6" t="s">
        <v>62</v>
      </c>
      <c r="D45" s="6" t="str">
        <f t="shared" si="0"/>
        <v>Non Taxable (NT)</v>
      </c>
      <c r="E45" s="6" t="str">
        <f t="shared" si="4"/>
        <v>NT</v>
      </c>
    </row>
    <row r="46" spans="1:5" ht="20.25" customHeight="1" x14ac:dyDescent="0.25">
      <c r="A46" s="30">
        <v>62830</v>
      </c>
      <c r="B46" s="30" t="s">
        <v>98</v>
      </c>
      <c r="C46" s="6" t="s">
        <v>62</v>
      </c>
      <c r="D46" s="6" t="str">
        <f t="shared" si="0"/>
        <v>Non Taxable (NT)</v>
      </c>
      <c r="E46" s="6" t="str">
        <f t="shared" si="4"/>
        <v>NT</v>
      </c>
    </row>
    <row r="47" spans="1:5" ht="20.25" customHeight="1" x14ac:dyDescent="0.25">
      <c r="A47" s="30">
        <v>62840</v>
      </c>
      <c r="B47" s="30" t="s">
        <v>99</v>
      </c>
      <c r="C47" s="6" t="s">
        <v>62</v>
      </c>
      <c r="D47" s="6" t="str">
        <f t="shared" si="0"/>
        <v>Non Taxable (NT)</v>
      </c>
      <c r="E47" s="6" t="str">
        <f t="shared" si="4"/>
        <v>NT</v>
      </c>
    </row>
    <row r="48" spans="1:5" ht="20.25" customHeight="1" x14ac:dyDescent="0.25">
      <c r="A48" s="30">
        <v>62850</v>
      </c>
      <c r="B48" s="30" t="s">
        <v>100</v>
      </c>
      <c r="C48" s="6" t="s">
        <v>56</v>
      </c>
      <c r="D48" s="6" t="str">
        <f t="shared" si="0"/>
        <v>Mutualisé (M)</v>
      </c>
      <c r="E48" s="6" t="str">
        <f t="shared" si="4"/>
        <v>M</v>
      </c>
    </row>
    <row r="49" spans="1:5" ht="20.25" customHeight="1" x14ac:dyDescent="0.25">
      <c r="A49" s="30">
        <v>63120</v>
      </c>
      <c r="B49" s="30" t="s">
        <v>101</v>
      </c>
      <c r="C49" s="6" t="s">
        <v>56</v>
      </c>
      <c r="D49" s="6" t="str">
        <f t="shared" si="0"/>
        <v>Mutualisé (M)</v>
      </c>
      <c r="E49" s="6" t="str">
        <f t="shared" si="4"/>
        <v>M</v>
      </c>
    </row>
    <row r="50" spans="1:5" ht="20.25" customHeight="1" x14ac:dyDescent="0.25">
      <c r="A50" s="30">
        <v>63330</v>
      </c>
      <c r="B50" s="30" t="s">
        <v>102</v>
      </c>
      <c r="C50" s="6" t="s">
        <v>56</v>
      </c>
      <c r="D50" s="6" t="str">
        <f t="shared" si="0"/>
        <v>Mutualisé (M)</v>
      </c>
      <c r="E50" s="6" t="str">
        <f t="shared" si="4"/>
        <v>M</v>
      </c>
    </row>
    <row r="51" spans="1:5" ht="20.25" customHeight="1" x14ac:dyDescent="0.25">
      <c r="A51" s="30">
        <v>63510</v>
      </c>
      <c r="B51" s="30" t="s">
        <v>103</v>
      </c>
      <c r="C51" s="6" t="s">
        <v>62</v>
      </c>
      <c r="D51" s="6" t="str">
        <f t="shared" si="0"/>
        <v>Non Taxable (NT)</v>
      </c>
      <c r="E51" s="6" t="str">
        <f t="shared" si="4"/>
        <v>NT</v>
      </c>
    </row>
    <row r="52" spans="1:5" ht="20.25" customHeight="1" x14ac:dyDescent="0.25">
      <c r="A52" s="30">
        <v>64110</v>
      </c>
      <c r="B52" s="30" t="s">
        <v>104</v>
      </c>
      <c r="C52" s="6" t="s">
        <v>56</v>
      </c>
      <c r="D52" s="6" t="str">
        <f t="shared" si="0"/>
        <v>Mutualisé (M)</v>
      </c>
      <c r="E52" s="6" t="str">
        <f t="shared" si="4"/>
        <v>M</v>
      </c>
    </row>
    <row r="53" spans="1:5" ht="20.25" customHeight="1" x14ac:dyDescent="0.25">
      <c r="A53" s="30">
        <v>64111</v>
      </c>
      <c r="B53" s="30" t="s">
        <v>105</v>
      </c>
      <c r="C53" s="6" t="s">
        <v>62</v>
      </c>
      <c r="D53" s="6" t="str">
        <f t="shared" si="0"/>
        <v>Non Taxable (NT)</v>
      </c>
      <c r="E53" s="6" t="str">
        <f t="shared" si="4"/>
        <v>NT</v>
      </c>
    </row>
    <row r="54" spans="1:5" ht="20.25" customHeight="1" x14ac:dyDescent="0.25">
      <c r="A54" s="30">
        <v>64112</v>
      </c>
      <c r="B54" s="30" t="s">
        <v>106</v>
      </c>
      <c r="C54" s="6" t="s">
        <v>53</v>
      </c>
      <c r="D54" s="6" t="str">
        <f t="shared" si="0"/>
        <v>Taxable (T)</v>
      </c>
      <c r="E54" s="6" t="str">
        <f t="shared" si="4"/>
        <v>T</v>
      </c>
    </row>
    <row r="55" spans="1:5" ht="20.25" customHeight="1" x14ac:dyDescent="0.25">
      <c r="A55" s="30">
        <v>64120</v>
      </c>
      <c r="B55" s="30" t="s">
        <v>107</v>
      </c>
      <c r="C55" s="6" t="s">
        <v>56</v>
      </c>
      <c r="D55" s="6" t="str">
        <f t="shared" ref="D55:D57" si="5">IF(C55="","",IF(C55="PRODUCTION","Taxable (T)",IF(C55="PÉDAGOGIE","Non Taxable (NT)",IF(C55="FONCTIONNEMENT GÉNÉRAL","Mutualisé (M)","ERREUR"))))</f>
        <v>Mutualisé (M)</v>
      </c>
      <c r="E55" s="6" t="str">
        <f t="shared" ref="E55:E57" si="6">IF(C55="","",IF(C55="PRODUCTION","T",IF(C55="PÉDAGOGIE","NT",IF(C55="FONCTIONNEMENT GÉNÉRAL","M","ERREUR"))))</f>
        <v>M</v>
      </c>
    </row>
    <row r="56" spans="1:5" ht="20.25" customHeight="1" x14ac:dyDescent="0.25">
      <c r="A56" s="30">
        <v>64121</v>
      </c>
      <c r="B56" s="30" t="s">
        <v>108</v>
      </c>
      <c r="C56" s="6" t="s">
        <v>62</v>
      </c>
      <c r="D56" s="6" t="str">
        <f t="shared" si="5"/>
        <v>Non Taxable (NT)</v>
      </c>
      <c r="E56" s="6" t="str">
        <f t="shared" si="6"/>
        <v>NT</v>
      </c>
    </row>
    <row r="57" spans="1:5" ht="20.25" customHeight="1" x14ac:dyDescent="0.25">
      <c r="A57" s="30">
        <v>64122</v>
      </c>
      <c r="B57" s="30" t="s">
        <v>109</v>
      </c>
      <c r="C57" s="6" t="s">
        <v>53</v>
      </c>
      <c r="D57" s="6" t="str">
        <f t="shared" si="5"/>
        <v>Taxable (T)</v>
      </c>
      <c r="E57" s="6" t="str">
        <f t="shared" si="6"/>
        <v>T</v>
      </c>
    </row>
    <row r="58" spans="1:5" ht="20.25" customHeight="1" x14ac:dyDescent="0.25">
      <c r="A58" s="30">
        <v>64510</v>
      </c>
      <c r="B58" s="30" t="s">
        <v>110</v>
      </c>
      <c r="C58" s="6" t="s">
        <v>56</v>
      </c>
      <c r="D58" s="6" t="str">
        <f t="shared" si="0"/>
        <v>Mutualisé (M)</v>
      </c>
      <c r="E58" s="6" t="str">
        <f t="shared" si="4"/>
        <v>M</v>
      </c>
    </row>
    <row r="59" spans="1:5" ht="20.25" customHeight="1" x14ac:dyDescent="0.25">
      <c r="A59" s="30">
        <v>64511</v>
      </c>
      <c r="B59" s="30" t="s">
        <v>111</v>
      </c>
      <c r="C59" s="6" t="s">
        <v>62</v>
      </c>
      <c r="D59" s="6" t="str">
        <f t="shared" si="0"/>
        <v>Non Taxable (NT)</v>
      </c>
      <c r="E59" s="6" t="str">
        <f t="shared" si="4"/>
        <v>NT</v>
      </c>
    </row>
    <row r="60" spans="1:5" ht="20.25" customHeight="1" x14ac:dyDescent="0.25">
      <c r="A60" s="30">
        <v>64512</v>
      </c>
      <c r="B60" s="30" t="s">
        <v>112</v>
      </c>
      <c r="C60" s="6" t="s">
        <v>53</v>
      </c>
      <c r="D60" s="6" t="str">
        <f t="shared" si="0"/>
        <v>Taxable (T)</v>
      </c>
      <c r="E60" s="6" t="str">
        <f t="shared" si="4"/>
        <v>T</v>
      </c>
    </row>
    <row r="61" spans="1:5" ht="20.25" customHeight="1" x14ac:dyDescent="0.25">
      <c r="A61" s="30">
        <v>66110</v>
      </c>
      <c r="B61" s="30" t="s">
        <v>113</v>
      </c>
      <c r="C61" s="6" t="s">
        <v>56</v>
      </c>
      <c r="D61" s="6" t="str">
        <f t="shared" si="0"/>
        <v>Mutualisé (M)</v>
      </c>
      <c r="E61" s="6" t="str">
        <f t="shared" si="4"/>
        <v>M</v>
      </c>
    </row>
    <row r="62" spans="1:5" ht="20.25" customHeight="1" x14ac:dyDescent="0.25">
      <c r="A62" s="30">
        <v>67500</v>
      </c>
      <c r="B62" s="30" t="s">
        <v>114</v>
      </c>
      <c r="C62" s="6" t="s">
        <v>56</v>
      </c>
      <c r="D62" s="6" t="str">
        <f t="shared" si="0"/>
        <v>Mutualisé (M)</v>
      </c>
      <c r="E62" s="6" t="str">
        <f t="shared" ref="E62:E65" si="7">IF(C62="","",IF(C62="PRODUCTION","T",IF(C62="PÉDAGOGIE","NT",IF(C62="FONCTIONNEMENT GÉNÉRAL","M","ERREUR"))))</f>
        <v>M</v>
      </c>
    </row>
    <row r="63" spans="1:5" ht="20.25" customHeight="1" x14ac:dyDescent="0.25">
      <c r="A63" s="30">
        <v>67510</v>
      </c>
      <c r="B63" s="30" t="s">
        <v>115</v>
      </c>
      <c r="C63" s="6" t="s">
        <v>62</v>
      </c>
      <c r="D63" s="6" t="str">
        <f t="shared" si="0"/>
        <v>Non Taxable (NT)</v>
      </c>
      <c r="E63" s="6" t="str">
        <f t="shared" si="7"/>
        <v>NT</v>
      </c>
    </row>
    <row r="64" spans="1:5" ht="20.25" customHeight="1" x14ac:dyDescent="0.25">
      <c r="A64" s="30">
        <v>67520</v>
      </c>
      <c r="B64" s="30" t="s">
        <v>116</v>
      </c>
      <c r="C64" s="6" t="s">
        <v>53</v>
      </c>
      <c r="D64" s="6" t="str">
        <f t="shared" si="0"/>
        <v>Taxable (T)</v>
      </c>
      <c r="E64" s="6" t="str">
        <f t="shared" si="7"/>
        <v>T</v>
      </c>
    </row>
    <row r="65" spans="1:6" ht="20.25" customHeight="1" x14ac:dyDescent="0.25">
      <c r="A65" s="30">
        <v>67800</v>
      </c>
      <c r="B65" s="30" t="s">
        <v>117</v>
      </c>
      <c r="C65" s="6" t="s">
        <v>56</v>
      </c>
      <c r="D65" s="6" t="str">
        <f t="shared" si="0"/>
        <v>Mutualisé (M)</v>
      </c>
      <c r="E65" s="6" t="str">
        <f t="shared" si="7"/>
        <v>M</v>
      </c>
    </row>
    <row r="66" spans="1:6" ht="20.25" customHeight="1" x14ac:dyDescent="0.25">
      <c r="A66" s="30">
        <v>68110</v>
      </c>
      <c r="B66" s="30" t="s">
        <v>118</v>
      </c>
      <c r="C66" s="6" t="s">
        <v>56</v>
      </c>
      <c r="D66" s="6" t="str">
        <f t="shared" si="0"/>
        <v>Mutualisé (M)</v>
      </c>
      <c r="E66" s="6" t="str">
        <f t="shared" si="4"/>
        <v>M</v>
      </c>
    </row>
    <row r="67" spans="1:6" ht="20.25" customHeight="1" x14ac:dyDescent="0.25">
      <c r="A67" s="30">
        <v>68111</v>
      </c>
      <c r="B67" s="30" t="s">
        <v>119</v>
      </c>
      <c r="C67" s="6" t="s">
        <v>62</v>
      </c>
      <c r="D67" s="6" t="str">
        <f t="shared" si="0"/>
        <v>Non Taxable (NT)</v>
      </c>
      <c r="E67" s="6" t="str">
        <f t="shared" si="4"/>
        <v>NT</v>
      </c>
    </row>
    <row r="68" spans="1:6" ht="20.25" customHeight="1" x14ac:dyDescent="0.25">
      <c r="A68" s="30">
        <v>68112</v>
      </c>
      <c r="B68" s="30" t="s">
        <v>120</v>
      </c>
      <c r="C68" s="6" t="s">
        <v>53</v>
      </c>
      <c r="D68" s="6" t="str">
        <f t="shared" si="0"/>
        <v>Taxable (T)</v>
      </c>
      <c r="E68" s="6" t="str">
        <f t="shared" si="4"/>
        <v>T</v>
      </c>
    </row>
    <row r="69" spans="1:6" ht="20.25" customHeight="1" x14ac:dyDescent="0.25">
      <c r="A69" s="30">
        <v>70600</v>
      </c>
      <c r="B69" s="30" t="s">
        <v>121</v>
      </c>
      <c r="C69" s="6" t="s">
        <v>53</v>
      </c>
      <c r="D69" s="6" t="str">
        <f t="shared" si="0"/>
        <v>Taxable (T)</v>
      </c>
      <c r="E69" s="6" t="str">
        <f t="shared" si="4"/>
        <v>T</v>
      </c>
      <c r="F69" s="44" t="s">
        <v>122</v>
      </c>
    </row>
    <row r="70" spans="1:6" ht="20.25" customHeight="1" x14ac:dyDescent="0.25">
      <c r="A70" s="30">
        <v>70601</v>
      </c>
      <c r="B70" s="30" t="s">
        <v>123</v>
      </c>
      <c r="C70" s="6" t="s">
        <v>53</v>
      </c>
      <c r="D70" s="6" t="str">
        <f t="shared" ref="D70:D71" si="8">IF(C70="","",IF(C70="PRODUCTION","Taxable (T)",IF(C70="PÉDAGOGIE","Non Taxable (NT)",IF(C70="FONCTIONNEMENT GÉNÉRAL","Mutualisé (M)","ERREUR"))))</f>
        <v>Taxable (T)</v>
      </c>
      <c r="E70" s="6" t="str">
        <f t="shared" ref="E70:E71" si="9">IF(C70="","",IF(C70="PRODUCTION","T",IF(C70="PÉDAGOGIE","NT",IF(C70="FONCTIONNEMENT GÉNÉRAL","M","ERREUR"))))</f>
        <v>T</v>
      </c>
      <c r="F70" s="44" t="s">
        <v>122</v>
      </c>
    </row>
    <row r="71" spans="1:6" ht="20.25" customHeight="1" x14ac:dyDescent="0.25">
      <c r="A71" s="30">
        <v>70602</v>
      </c>
      <c r="B71" s="30" t="s">
        <v>124</v>
      </c>
      <c r="C71" s="6" t="s">
        <v>53</v>
      </c>
      <c r="D71" s="6" t="str">
        <f t="shared" si="8"/>
        <v>Taxable (T)</v>
      </c>
      <c r="E71" s="6" t="str">
        <f t="shared" si="9"/>
        <v>T</v>
      </c>
      <c r="F71" s="44" t="s">
        <v>122</v>
      </c>
    </row>
    <row r="72" spans="1:6" ht="20.25" customHeight="1" x14ac:dyDescent="0.25">
      <c r="A72" s="30">
        <v>70620</v>
      </c>
      <c r="B72" s="30" t="s">
        <v>125</v>
      </c>
      <c r="C72" s="6" t="s">
        <v>53</v>
      </c>
      <c r="D72" s="6" t="str">
        <f t="shared" ref="D72" si="10">IF(C72="","",IF(C72="PRODUCTION","Taxable (T)",IF(C72="PÉDAGOGIE","Non Taxable (NT)",IF(C72="FONCTIONNEMENT GÉNÉRAL","Mutualisé (M)","ERREUR"))))</f>
        <v>Taxable (T)</v>
      </c>
      <c r="E72" s="6" t="str">
        <f t="shared" ref="E72" si="11">IF(C72="","",IF(C72="PRODUCTION","T",IF(C72="PÉDAGOGIE","NT",IF(C72="FONCTIONNEMENT GÉNÉRAL","M","ERREUR"))))</f>
        <v>T</v>
      </c>
      <c r="F72" s="44" t="s">
        <v>122</v>
      </c>
    </row>
    <row r="73" spans="1:6" ht="20.25" customHeight="1" x14ac:dyDescent="0.25">
      <c r="A73" s="30">
        <v>70700</v>
      </c>
      <c r="B73" s="30" t="s">
        <v>126</v>
      </c>
      <c r="C73" s="6" t="s">
        <v>53</v>
      </c>
      <c r="D73" s="6" t="str">
        <f t="shared" si="0"/>
        <v>Taxable (T)</v>
      </c>
      <c r="E73" s="6" t="str">
        <f t="shared" si="4"/>
        <v>T</v>
      </c>
      <c r="F73" s="44" t="s">
        <v>122</v>
      </c>
    </row>
    <row r="74" spans="1:6" ht="20.25" customHeight="1" x14ac:dyDescent="0.25">
      <c r="A74" s="30">
        <v>70701</v>
      </c>
      <c r="B74" s="30" t="s">
        <v>127</v>
      </c>
      <c r="C74" s="6" t="s">
        <v>53</v>
      </c>
      <c r="D74" s="6" t="str">
        <f t="shared" ref="D74:D75" si="12">IF(C74="","",IF(C74="PRODUCTION","Taxable (T)",IF(C74="PÉDAGOGIE","Non Taxable (NT)",IF(C74="FONCTIONNEMENT GÉNÉRAL","Mutualisé (M)","ERREUR"))))</f>
        <v>Taxable (T)</v>
      </c>
      <c r="E74" s="6" t="str">
        <f t="shared" ref="E74:E75" si="13">IF(C74="","",IF(C74="PRODUCTION","T",IF(C74="PÉDAGOGIE","NT",IF(C74="FONCTIONNEMENT GÉNÉRAL","M","ERREUR"))))</f>
        <v>T</v>
      </c>
      <c r="F74" s="44" t="s">
        <v>122</v>
      </c>
    </row>
    <row r="75" spans="1:6" ht="20.25" customHeight="1" x14ac:dyDescent="0.25">
      <c r="A75" s="30">
        <v>70702</v>
      </c>
      <c r="B75" s="30" t="s">
        <v>128</v>
      </c>
      <c r="C75" s="6" t="s">
        <v>53</v>
      </c>
      <c r="D75" s="6" t="str">
        <f t="shared" si="12"/>
        <v>Taxable (T)</v>
      </c>
      <c r="E75" s="6" t="str">
        <f t="shared" si="13"/>
        <v>T</v>
      </c>
      <c r="F75" s="44" t="s">
        <v>122</v>
      </c>
    </row>
    <row r="76" spans="1:6" ht="20.25" customHeight="1" x14ac:dyDescent="0.25">
      <c r="A76" s="30">
        <v>70720</v>
      </c>
      <c r="B76" s="30" t="s">
        <v>129</v>
      </c>
      <c r="C76" s="6" t="s">
        <v>53</v>
      </c>
      <c r="D76" s="6" t="str">
        <f t="shared" si="0"/>
        <v>Taxable (T)</v>
      </c>
      <c r="E76" s="6" t="str">
        <f t="shared" si="4"/>
        <v>T</v>
      </c>
      <c r="F76" s="44" t="s">
        <v>122</v>
      </c>
    </row>
    <row r="77" spans="1:6" ht="20.25" customHeight="1" x14ac:dyDescent="0.25">
      <c r="A77" s="30">
        <v>71331</v>
      </c>
      <c r="B77" s="30" t="s">
        <v>130</v>
      </c>
      <c r="C77" s="6" t="s">
        <v>53</v>
      </c>
      <c r="D77" s="6" t="str">
        <f t="shared" ref="D77:D78" si="14">IF(C77="","",IF(C77="PRODUCTION","Taxable (T)",IF(C77="PÉDAGOGIE","Non Taxable (NT)",IF(C77="FONCTIONNEMENT GÉNÉRAL","Mutualisé (M)","ERREUR"))))</f>
        <v>Taxable (T)</v>
      </c>
      <c r="E77" s="6" t="str">
        <f t="shared" ref="E77:E78" si="15">IF(C77="","",IF(C77="PRODUCTION","T",IF(C77="PÉDAGOGIE","NT",IF(C77="FONCTIONNEMENT GÉNÉRAL","M","ERREUR"))))</f>
        <v>T</v>
      </c>
      <c r="F77" s="44" t="s">
        <v>122</v>
      </c>
    </row>
    <row r="78" spans="1:6" ht="20.25" customHeight="1" x14ac:dyDescent="0.25">
      <c r="A78" s="30">
        <v>71335</v>
      </c>
      <c r="B78" s="30" t="s">
        <v>131</v>
      </c>
      <c r="C78" s="6" t="s">
        <v>53</v>
      </c>
      <c r="D78" s="6" t="str">
        <f t="shared" si="14"/>
        <v>Taxable (T)</v>
      </c>
      <c r="E78" s="6" t="str">
        <f t="shared" si="15"/>
        <v>T</v>
      </c>
      <c r="F78" s="44" t="s">
        <v>122</v>
      </c>
    </row>
    <row r="79" spans="1:6" ht="20.25" customHeight="1" x14ac:dyDescent="0.25">
      <c r="A79" s="30">
        <v>72210</v>
      </c>
      <c r="B79" s="30" t="s">
        <v>132</v>
      </c>
      <c r="C79" s="6" t="s">
        <v>62</v>
      </c>
      <c r="D79" s="6" t="str">
        <f t="shared" si="0"/>
        <v>Non Taxable (NT)</v>
      </c>
      <c r="E79" s="6" t="str">
        <f t="shared" si="4"/>
        <v>NT</v>
      </c>
      <c r="F79" s="44" t="s">
        <v>133</v>
      </c>
    </row>
    <row r="80" spans="1:6" ht="20.25" customHeight="1" x14ac:dyDescent="0.25">
      <c r="A80" s="30">
        <v>72220</v>
      </c>
      <c r="B80" s="30" t="s">
        <v>134</v>
      </c>
      <c r="C80" s="6" t="s">
        <v>53</v>
      </c>
      <c r="D80" s="6" t="str">
        <f t="shared" si="0"/>
        <v>Taxable (T)</v>
      </c>
      <c r="E80" s="6" t="str">
        <f t="shared" si="4"/>
        <v>T</v>
      </c>
      <c r="F80" s="44" t="s">
        <v>133</v>
      </c>
    </row>
    <row r="81" spans="1:6" ht="20.25" customHeight="1" x14ac:dyDescent="0.25">
      <c r="A81" s="30">
        <v>74100</v>
      </c>
      <c r="B81" s="30" t="s">
        <v>135</v>
      </c>
      <c r="C81" s="6" t="s">
        <v>56</v>
      </c>
      <c r="D81" s="6" t="str">
        <f t="shared" si="0"/>
        <v>Mutualisé (M)</v>
      </c>
      <c r="E81" s="6" t="str">
        <f t="shared" ref="E81" si="16">IF(C81="","",IF(C81="PRODUCTION","T",IF(C81="PÉDAGOGIE","NT",IF(C81="FONCTIONNEMENT GÉNÉRAL","M","ERREUR"))))</f>
        <v>M</v>
      </c>
      <c r="F81" s="44" t="s">
        <v>133</v>
      </c>
    </row>
    <row r="82" spans="1:6" ht="20.25" customHeight="1" x14ac:dyDescent="0.25">
      <c r="A82" s="30">
        <v>74101</v>
      </c>
      <c r="B82" s="30" t="s">
        <v>136</v>
      </c>
      <c r="C82" s="6" t="s">
        <v>56</v>
      </c>
      <c r="D82" s="6" t="str">
        <f t="shared" si="0"/>
        <v>Mutualisé (M)</v>
      </c>
      <c r="E82" s="6" t="str">
        <f t="shared" ref="E82" si="17">IF(C82="","",IF(C82="PRODUCTION","T",IF(C82="PÉDAGOGIE","NT",IF(C82="FONCTIONNEMENT GÉNÉRAL","M","ERREUR"))))</f>
        <v>M</v>
      </c>
      <c r="F82" s="44" t="s">
        <v>133</v>
      </c>
    </row>
    <row r="83" spans="1:6" ht="20.25" customHeight="1" x14ac:dyDescent="0.25">
      <c r="A83" s="30">
        <v>74110</v>
      </c>
      <c r="B83" s="30" t="s">
        <v>137</v>
      </c>
      <c r="C83" s="6" t="s">
        <v>62</v>
      </c>
      <c r="D83" s="6" t="str">
        <f t="shared" ref="D83:D97" si="18">IF(C83="","",IF(C83="PRODUCTION","Taxable (T)",IF(C83="PÉDAGOGIE","Non Taxable (NT)",IF(C83="FONCTIONNEMENT GÉNÉRAL","Mutualisé (M)","ERREUR"))))</f>
        <v>Non Taxable (NT)</v>
      </c>
      <c r="E83" s="6" t="str">
        <f t="shared" si="4"/>
        <v>NT</v>
      </c>
      <c r="F83" s="44" t="s">
        <v>133</v>
      </c>
    </row>
    <row r="84" spans="1:6" ht="20.25" customHeight="1" x14ac:dyDescent="0.25">
      <c r="A84" s="30">
        <v>74111</v>
      </c>
      <c r="B84" s="30" t="s">
        <v>138</v>
      </c>
      <c r="C84" s="6" t="s">
        <v>62</v>
      </c>
      <c r="D84" s="6" t="str">
        <f t="shared" ref="D84:D86" si="19">IF(C84="","",IF(C84="PRODUCTION","Taxable (T)",IF(C84="PÉDAGOGIE","Non Taxable (NT)",IF(C84="FONCTIONNEMENT GÉNÉRAL","Mutualisé (M)","ERREUR"))))</f>
        <v>Non Taxable (NT)</v>
      </c>
      <c r="E84" s="6" t="str">
        <f t="shared" ref="E84:E86" si="20">IF(C84="","",IF(C84="PRODUCTION","T",IF(C84="PÉDAGOGIE","NT",IF(C84="FONCTIONNEMENT GÉNÉRAL","M","ERREUR"))))</f>
        <v>NT</v>
      </c>
      <c r="F84" s="44" t="s">
        <v>139</v>
      </c>
    </row>
    <row r="85" spans="1:6" ht="20.25" customHeight="1" x14ac:dyDescent="0.25">
      <c r="A85" s="30">
        <v>74120</v>
      </c>
      <c r="B85" s="30" t="s">
        <v>140</v>
      </c>
      <c r="C85" s="6" t="s">
        <v>53</v>
      </c>
      <c r="D85" s="6" t="str">
        <f t="shared" si="19"/>
        <v>Taxable (T)</v>
      </c>
      <c r="E85" s="6" t="str">
        <f t="shared" si="20"/>
        <v>T</v>
      </c>
      <c r="F85" s="44" t="s">
        <v>133</v>
      </c>
    </row>
    <row r="86" spans="1:6" ht="20.25" customHeight="1" x14ac:dyDescent="0.25">
      <c r="A86" s="30">
        <v>74121</v>
      </c>
      <c r="B86" s="30" t="s">
        <v>141</v>
      </c>
      <c r="C86" s="6" t="s">
        <v>53</v>
      </c>
      <c r="D86" s="6" t="str">
        <f t="shared" si="19"/>
        <v>Taxable (T)</v>
      </c>
      <c r="E86" s="6" t="str">
        <f t="shared" si="20"/>
        <v>T</v>
      </c>
      <c r="F86" s="44" t="s">
        <v>122</v>
      </c>
    </row>
    <row r="87" spans="1:6" ht="20.25" customHeight="1" x14ac:dyDescent="0.25">
      <c r="A87" s="30">
        <v>74700</v>
      </c>
      <c r="B87" s="30" t="s">
        <v>142</v>
      </c>
      <c r="C87" s="6" t="s">
        <v>56</v>
      </c>
      <c r="D87" s="6" t="str">
        <f t="shared" si="18"/>
        <v>Mutualisé (M)</v>
      </c>
      <c r="E87" s="6" t="str">
        <f t="shared" ref="E87:E89" si="21">IF(C87="","",IF(C87="PRODUCTION","T",IF(C87="PÉDAGOGIE","NT",IF(C87="FONCTIONNEMENT GÉNÉRAL","M","ERREUR"))))</f>
        <v>M</v>
      </c>
      <c r="F87" s="44" t="s">
        <v>133</v>
      </c>
    </row>
    <row r="88" spans="1:6" ht="20.25" customHeight="1" x14ac:dyDescent="0.25">
      <c r="A88" s="30">
        <v>74710</v>
      </c>
      <c r="B88" s="30" t="s">
        <v>143</v>
      </c>
      <c r="C88" s="6" t="s">
        <v>62</v>
      </c>
      <c r="D88" s="6" t="str">
        <f t="shared" si="18"/>
        <v>Non Taxable (NT)</v>
      </c>
      <c r="E88" s="6" t="str">
        <f t="shared" si="21"/>
        <v>NT</v>
      </c>
      <c r="F88" s="44" t="s">
        <v>133</v>
      </c>
    </row>
    <row r="89" spans="1:6" ht="20.25" customHeight="1" x14ac:dyDescent="0.25">
      <c r="A89" s="30">
        <v>74720</v>
      </c>
      <c r="B89" s="30" t="s">
        <v>144</v>
      </c>
      <c r="C89" s="6" t="s">
        <v>53</v>
      </c>
      <c r="D89" s="6" t="str">
        <f t="shared" si="18"/>
        <v>Taxable (T)</v>
      </c>
      <c r="E89" s="6" t="str">
        <f t="shared" si="21"/>
        <v>T</v>
      </c>
      <c r="F89" s="44" t="s">
        <v>133</v>
      </c>
    </row>
    <row r="90" spans="1:6" ht="20.25" customHeight="1" x14ac:dyDescent="0.25">
      <c r="A90" s="30">
        <v>75410</v>
      </c>
      <c r="B90" s="30" t="s">
        <v>145</v>
      </c>
      <c r="C90" s="6" t="s">
        <v>56</v>
      </c>
      <c r="D90" s="6" t="str">
        <f t="shared" si="18"/>
        <v>Mutualisé (M)</v>
      </c>
      <c r="E90" s="6" t="str">
        <f t="shared" si="4"/>
        <v>M</v>
      </c>
      <c r="F90" s="44" t="s">
        <v>133</v>
      </c>
    </row>
    <row r="91" spans="1:6" ht="20.25" customHeight="1" x14ac:dyDescent="0.25">
      <c r="A91" s="30">
        <v>75420</v>
      </c>
      <c r="B91" s="30" t="s">
        <v>146</v>
      </c>
      <c r="C91" s="6" t="s">
        <v>56</v>
      </c>
      <c r="D91" s="6" t="str">
        <f t="shared" si="18"/>
        <v>Mutualisé (M)</v>
      </c>
      <c r="E91" s="6" t="str">
        <f t="shared" si="4"/>
        <v>M</v>
      </c>
      <c r="F91" s="44" t="s">
        <v>133</v>
      </c>
    </row>
    <row r="92" spans="1:6" ht="20.25" customHeight="1" x14ac:dyDescent="0.25">
      <c r="A92" s="30">
        <v>75610</v>
      </c>
      <c r="B92" s="30" t="s">
        <v>147</v>
      </c>
      <c r="C92" s="6" t="s">
        <v>62</v>
      </c>
      <c r="D92" s="6" t="str">
        <f t="shared" si="18"/>
        <v>Non Taxable (NT)</v>
      </c>
      <c r="E92" s="6" t="str">
        <f t="shared" ref="E92" si="22">IF(C92="","",IF(C92="PRODUCTION","T",IF(C92="PÉDAGOGIE","NT",IF(C92="FONCTIONNEMENT GÉNÉRAL","M","ERREUR"))))</f>
        <v>NT</v>
      </c>
      <c r="F92" s="44" t="s">
        <v>133</v>
      </c>
    </row>
    <row r="93" spans="1:6" ht="20.25" customHeight="1" x14ac:dyDescent="0.25">
      <c r="A93" s="30">
        <v>75620</v>
      </c>
      <c r="B93" s="30" t="s">
        <v>148</v>
      </c>
      <c r="C93" s="6" t="s">
        <v>53</v>
      </c>
      <c r="D93" s="6" t="str">
        <f t="shared" si="18"/>
        <v>Taxable (T)</v>
      </c>
      <c r="E93" s="6" t="str">
        <f t="shared" si="4"/>
        <v>T</v>
      </c>
      <c r="F93" s="44" t="s">
        <v>122</v>
      </c>
    </row>
    <row r="94" spans="1:6" ht="20.25" customHeight="1" x14ac:dyDescent="0.25">
      <c r="A94" s="30">
        <v>77500</v>
      </c>
      <c r="B94" s="30" t="s">
        <v>149</v>
      </c>
      <c r="C94" s="6" t="s">
        <v>56</v>
      </c>
      <c r="D94" s="6" t="str">
        <f t="shared" si="18"/>
        <v>Mutualisé (M)</v>
      </c>
      <c r="E94" s="6" t="str">
        <f t="shared" ref="E94:E96" si="23">IF(C94="","",IF(C94="PRODUCTION","T",IF(C94="PÉDAGOGIE","NT",IF(C94="FONCTIONNEMENT GÉNÉRAL","M","ERREUR"))))</f>
        <v>M</v>
      </c>
      <c r="F94" s="44" t="s">
        <v>133</v>
      </c>
    </row>
    <row r="95" spans="1:6" ht="20.25" customHeight="1" x14ac:dyDescent="0.25">
      <c r="A95" s="30">
        <v>77510</v>
      </c>
      <c r="B95" s="30" t="s">
        <v>150</v>
      </c>
      <c r="C95" s="6" t="s">
        <v>62</v>
      </c>
      <c r="D95" s="6" t="str">
        <f t="shared" si="18"/>
        <v>Non Taxable (NT)</v>
      </c>
      <c r="E95" s="6" t="str">
        <f t="shared" si="23"/>
        <v>NT</v>
      </c>
      <c r="F95" s="44" t="s">
        <v>133</v>
      </c>
    </row>
    <row r="96" spans="1:6" ht="20.25" customHeight="1" x14ac:dyDescent="0.25">
      <c r="A96" s="30">
        <v>77520</v>
      </c>
      <c r="B96" s="30" t="s">
        <v>151</v>
      </c>
      <c r="C96" s="6" t="s">
        <v>53</v>
      </c>
      <c r="D96" s="6" t="str">
        <f t="shared" si="18"/>
        <v>Taxable (T)</v>
      </c>
      <c r="E96" s="6" t="str">
        <f t="shared" si="23"/>
        <v>T</v>
      </c>
      <c r="F96" s="44" t="s">
        <v>133</v>
      </c>
    </row>
    <row r="97" spans="1:6" ht="20.25" customHeight="1" x14ac:dyDescent="0.25">
      <c r="A97" s="30">
        <v>77800</v>
      </c>
      <c r="B97" s="30" t="s">
        <v>152</v>
      </c>
      <c r="C97" s="6" t="s">
        <v>56</v>
      </c>
      <c r="D97" s="6" t="str">
        <f t="shared" si="18"/>
        <v>Mutualisé (M)</v>
      </c>
      <c r="E97" s="6" t="str">
        <f t="shared" ref="E97" si="24">IF(C97="","",IF(C97="PRODUCTION","T",IF(C97="PÉDAGOGIE","NT",IF(C97="FONCTIONNEMENT GÉNÉRAL","M","ERREUR"))))</f>
        <v>M</v>
      </c>
      <c r="F97" s="44" t="s">
        <v>133</v>
      </c>
    </row>
    <row r="98" spans="1:6" x14ac:dyDescent="0.25">
      <c r="D98" t="str">
        <f t="shared" ref="D98:D131" si="25">IF(C98="","",IF(C98="PRODUCTION","Taxable (T)",IF(C98="PÉDAGOGIE","Non Taxable (NT)",IF(C98="FONCTIONNEMENT GÉNÉRAL","Mutualisé (M)","ERREUR"))))</f>
        <v/>
      </c>
      <c r="E98" t="str">
        <f t="shared" ref="E98:E141" si="26">IF(C98="","",IF(C98="PRODUCTION","T",IF(C98="PÉDAGOGIE","NT",IF(C98="FONCTIONNEMENT GÉNÉRAL","M","ERREUR"))))</f>
        <v/>
      </c>
    </row>
    <row r="99" spans="1:6" x14ac:dyDescent="0.25">
      <c r="D99" t="str">
        <f t="shared" si="25"/>
        <v/>
      </c>
      <c r="E99" t="str">
        <f t="shared" si="26"/>
        <v/>
      </c>
    </row>
    <row r="100" spans="1:6" x14ac:dyDescent="0.25">
      <c r="D100" t="str">
        <f t="shared" si="25"/>
        <v/>
      </c>
      <c r="E100" t="str">
        <f t="shared" si="26"/>
        <v/>
      </c>
    </row>
    <row r="101" spans="1:6" x14ac:dyDescent="0.25">
      <c r="D101" t="str">
        <f t="shared" si="25"/>
        <v/>
      </c>
      <c r="E101" t="str">
        <f t="shared" si="26"/>
        <v/>
      </c>
    </row>
    <row r="102" spans="1:6" x14ac:dyDescent="0.25">
      <c r="D102" t="str">
        <f t="shared" si="25"/>
        <v/>
      </c>
      <c r="E102" t="str">
        <f t="shared" si="26"/>
        <v/>
      </c>
    </row>
    <row r="103" spans="1:6" x14ac:dyDescent="0.25">
      <c r="D103" t="str">
        <f t="shared" si="25"/>
        <v/>
      </c>
      <c r="E103" t="str">
        <f t="shared" si="26"/>
        <v/>
      </c>
    </row>
    <row r="104" spans="1:6" x14ac:dyDescent="0.25">
      <c r="D104" t="str">
        <f t="shared" si="25"/>
        <v/>
      </c>
      <c r="E104" t="str">
        <f t="shared" si="26"/>
        <v/>
      </c>
    </row>
    <row r="105" spans="1:6" x14ac:dyDescent="0.25">
      <c r="D105" t="str">
        <f t="shared" si="25"/>
        <v/>
      </c>
      <c r="E105" t="str">
        <f t="shared" si="26"/>
        <v/>
      </c>
    </row>
    <row r="106" spans="1:6" x14ac:dyDescent="0.25">
      <c r="D106" t="str">
        <f t="shared" si="25"/>
        <v/>
      </c>
      <c r="E106" t="str">
        <f t="shared" si="26"/>
        <v/>
      </c>
    </row>
    <row r="107" spans="1:6" x14ac:dyDescent="0.25">
      <c r="D107" t="str">
        <f t="shared" si="25"/>
        <v/>
      </c>
      <c r="E107" t="str">
        <f t="shared" si="26"/>
        <v/>
      </c>
    </row>
    <row r="108" spans="1:6" x14ac:dyDescent="0.25">
      <c r="D108" t="str">
        <f t="shared" si="25"/>
        <v/>
      </c>
      <c r="E108" t="str">
        <f t="shared" si="26"/>
        <v/>
      </c>
    </row>
    <row r="109" spans="1:6" x14ac:dyDescent="0.25">
      <c r="D109" t="str">
        <f t="shared" si="25"/>
        <v/>
      </c>
      <c r="E109" t="str">
        <f t="shared" si="26"/>
        <v/>
      </c>
    </row>
    <row r="110" spans="1:6" x14ac:dyDescent="0.25">
      <c r="D110" t="str">
        <f t="shared" si="25"/>
        <v/>
      </c>
      <c r="E110" t="str">
        <f t="shared" si="26"/>
        <v/>
      </c>
    </row>
    <row r="111" spans="1:6" x14ac:dyDescent="0.25">
      <c r="D111" t="str">
        <f t="shared" si="25"/>
        <v/>
      </c>
      <c r="E111" t="str">
        <f t="shared" si="26"/>
        <v/>
      </c>
    </row>
    <row r="112" spans="1:6" x14ac:dyDescent="0.25">
      <c r="D112" t="str">
        <f t="shared" si="25"/>
        <v/>
      </c>
      <c r="E112" t="str">
        <f t="shared" si="26"/>
        <v/>
      </c>
    </row>
    <row r="113" spans="4:5" x14ac:dyDescent="0.25">
      <c r="D113" t="str">
        <f t="shared" si="25"/>
        <v/>
      </c>
      <c r="E113" t="str">
        <f t="shared" si="26"/>
        <v/>
      </c>
    </row>
    <row r="114" spans="4:5" x14ac:dyDescent="0.25">
      <c r="D114" t="str">
        <f t="shared" si="25"/>
        <v/>
      </c>
      <c r="E114" t="str">
        <f t="shared" si="26"/>
        <v/>
      </c>
    </row>
    <row r="115" spans="4:5" x14ac:dyDescent="0.25">
      <c r="D115" t="str">
        <f t="shared" si="25"/>
        <v/>
      </c>
      <c r="E115" t="str">
        <f t="shared" si="26"/>
        <v/>
      </c>
    </row>
    <row r="116" spans="4:5" x14ac:dyDescent="0.25">
      <c r="D116" t="str">
        <f t="shared" si="25"/>
        <v/>
      </c>
      <c r="E116" t="str">
        <f t="shared" si="26"/>
        <v/>
      </c>
    </row>
    <row r="117" spans="4:5" x14ac:dyDescent="0.25">
      <c r="D117" t="str">
        <f t="shared" si="25"/>
        <v/>
      </c>
      <c r="E117" t="str">
        <f t="shared" si="26"/>
        <v/>
      </c>
    </row>
    <row r="118" spans="4:5" x14ac:dyDescent="0.25">
      <c r="D118" t="str">
        <f t="shared" si="25"/>
        <v/>
      </c>
      <c r="E118" t="str">
        <f t="shared" si="26"/>
        <v/>
      </c>
    </row>
    <row r="119" spans="4:5" x14ac:dyDescent="0.25">
      <c r="D119" t="str">
        <f t="shared" si="25"/>
        <v/>
      </c>
      <c r="E119" t="str">
        <f t="shared" si="26"/>
        <v/>
      </c>
    </row>
    <row r="120" spans="4:5" x14ac:dyDescent="0.25">
      <c r="D120" t="str">
        <f t="shared" si="25"/>
        <v/>
      </c>
      <c r="E120" t="str">
        <f t="shared" si="26"/>
        <v/>
      </c>
    </row>
    <row r="121" spans="4:5" x14ac:dyDescent="0.25">
      <c r="D121" t="str">
        <f t="shared" si="25"/>
        <v/>
      </c>
      <c r="E121" t="str">
        <f t="shared" si="26"/>
        <v/>
      </c>
    </row>
    <row r="122" spans="4:5" x14ac:dyDescent="0.25">
      <c r="D122" t="str">
        <f t="shared" si="25"/>
        <v/>
      </c>
      <c r="E122" t="str">
        <f t="shared" si="26"/>
        <v/>
      </c>
    </row>
    <row r="123" spans="4:5" x14ac:dyDescent="0.25">
      <c r="D123" t="str">
        <f t="shared" si="25"/>
        <v/>
      </c>
      <c r="E123" t="str">
        <f t="shared" si="26"/>
        <v/>
      </c>
    </row>
    <row r="124" spans="4:5" x14ac:dyDescent="0.25">
      <c r="D124" t="str">
        <f t="shared" si="25"/>
        <v/>
      </c>
      <c r="E124" t="str">
        <f t="shared" si="26"/>
        <v/>
      </c>
    </row>
    <row r="125" spans="4:5" x14ac:dyDescent="0.25">
      <c r="D125" t="str">
        <f t="shared" si="25"/>
        <v/>
      </c>
      <c r="E125" t="str">
        <f t="shared" si="26"/>
        <v/>
      </c>
    </row>
    <row r="126" spans="4:5" x14ac:dyDescent="0.25">
      <c r="D126" t="str">
        <f t="shared" si="25"/>
        <v/>
      </c>
      <c r="E126" t="str">
        <f t="shared" si="26"/>
        <v/>
      </c>
    </row>
    <row r="127" spans="4:5" x14ac:dyDescent="0.25">
      <c r="D127" t="str">
        <f t="shared" si="25"/>
        <v/>
      </c>
      <c r="E127" t="str">
        <f t="shared" si="26"/>
        <v/>
      </c>
    </row>
    <row r="128" spans="4:5" x14ac:dyDescent="0.25">
      <c r="D128" t="str">
        <f t="shared" si="25"/>
        <v/>
      </c>
      <c r="E128" t="str">
        <f t="shared" si="26"/>
        <v/>
      </c>
    </row>
    <row r="129" spans="4:5" x14ac:dyDescent="0.25">
      <c r="D129" t="str">
        <f t="shared" si="25"/>
        <v/>
      </c>
      <c r="E129" t="str">
        <f t="shared" si="26"/>
        <v/>
      </c>
    </row>
    <row r="130" spans="4:5" x14ac:dyDescent="0.25">
      <c r="D130" t="str">
        <f t="shared" si="25"/>
        <v/>
      </c>
      <c r="E130" t="str">
        <f t="shared" si="26"/>
        <v/>
      </c>
    </row>
    <row r="131" spans="4:5" x14ac:dyDescent="0.25">
      <c r="D131" t="str">
        <f t="shared" si="25"/>
        <v/>
      </c>
      <c r="E131" t="str">
        <f t="shared" si="26"/>
        <v/>
      </c>
    </row>
    <row r="132" spans="4:5" x14ac:dyDescent="0.25">
      <c r="D132" t="str">
        <f t="shared" ref="D132:D195" si="27">IF(C132="","",IF(C132="PRODUCTION","Taxable (T)",IF(C132="PÉDAGOGIE","Non Taxable (NT)",IF(C132="FONCTIONNEMENT GÉNÉRAL","Mutualisé (M)","ERREUR"))))</f>
        <v/>
      </c>
      <c r="E132" t="str">
        <f t="shared" si="26"/>
        <v/>
      </c>
    </row>
    <row r="133" spans="4:5" x14ac:dyDescent="0.25">
      <c r="D133" t="str">
        <f t="shared" si="27"/>
        <v/>
      </c>
      <c r="E133" t="str">
        <f t="shared" si="26"/>
        <v/>
      </c>
    </row>
    <row r="134" spans="4:5" x14ac:dyDescent="0.25">
      <c r="D134" t="str">
        <f t="shared" si="27"/>
        <v/>
      </c>
      <c r="E134" t="str">
        <f t="shared" si="26"/>
        <v/>
      </c>
    </row>
    <row r="135" spans="4:5" x14ac:dyDescent="0.25">
      <c r="D135" t="str">
        <f t="shared" si="27"/>
        <v/>
      </c>
      <c r="E135" t="str">
        <f t="shared" si="26"/>
        <v/>
      </c>
    </row>
    <row r="136" spans="4:5" x14ac:dyDescent="0.25">
      <c r="D136" t="str">
        <f t="shared" si="27"/>
        <v/>
      </c>
      <c r="E136" t="str">
        <f t="shared" si="26"/>
        <v/>
      </c>
    </row>
    <row r="137" spans="4:5" x14ac:dyDescent="0.25">
      <c r="D137" t="str">
        <f t="shared" si="27"/>
        <v/>
      </c>
      <c r="E137" t="str">
        <f t="shared" si="26"/>
        <v/>
      </c>
    </row>
    <row r="138" spans="4:5" x14ac:dyDescent="0.25">
      <c r="D138" t="str">
        <f t="shared" si="27"/>
        <v/>
      </c>
      <c r="E138" t="str">
        <f t="shared" si="26"/>
        <v/>
      </c>
    </row>
    <row r="139" spans="4:5" x14ac:dyDescent="0.25">
      <c r="D139" t="str">
        <f t="shared" si="27"/>
        <v/>
      </c>
      <c r="E139" t="str">
        <f t="shared" si="26"/>
        <v/>
      </c>
    </row>
    <row r="140" spans="4:5" x14ac:dyDescent="0.25">
      <c r="D140" t="str">
        <f t="shared" si="27"/>
        <v/>
      </c>
      <c r="E140" t="str">
        <f t="shared" si="26"/>
        <v/>
      </c>
    </row>
    <row r="141" spans="4:5" x14ac:dyDescent="0.25">
      <c r="D141" t="str">
        <f t="shared" si="27"/>
        <v/>
      </c>
      <c r="E141" t="str">
        <f t="shared" si="26"/>
        <v/>
      </c>
    </row>
    <row r="142" spans="4:5" x14ac:dyDescent="0.25">
      <c r="D142" t="str">
        <f t="shared" si="27"/>
        <v/>
      </c>
      <c r="E142" t="str">
        <f t="shared" ref="E142:E205" si="28">IF(C142="","",IF(C142="PRODUCTION","T",IF(C142="PÉDAGOGIE","NT",IF(C142="FONCTIONNEMENT GÉNÉRAL","M","ERREUR"))))</f>
        <v/>
      </c>
    </row>
    <row r="143" spans="4:5" x14ac:dyDescent="0.25">
      <c r="D143" t="str">
        <f t="shared" si="27"/>
        <v/>
      </c>
      <c r="E143" t="str">
        <f t="shared" si="28"/>
        <v/>
      </c>
    </row>
    <row r="144" spans="4:5" x14ac:dyDescent="0.25">
      <c r="D144" t="str">
        <f t="shared" si="27"/>
        <v/>
      </c>
      <c r="E144" t="str">
        <f t="shared" si="28"/>
        <v/>
      </c>
    </row>
    <row r="145" spans="4:5" x14ac:dyDescent="0.25">
      <c r="D145" t="str">
        <f t="shared" si="27"/>
        <v/>
      </c>
      <c r="E145" t="str">
        <f t="shared" si="28"/>
        <v/>
      </c>
    </row>
    <row r="146" spans="4:5" x14ac:dyDescent="0.25">
      <c r="D146" t="str">
        <f t="shared" si="27"/>
        <v/>
      </c>
      <c r="E146" t="str">
        <f t="shared" si="28"/>
        <v/>
      </c>
    </row>
    <row r="147" spans="4:5" x14ac:dyDescent="0.25">
      <c r="D147" t="str">
        <f t="shared" si="27"/>
        <v/>
      </c>
      <c r="E147" t="str">
        <f t="shared" si="28"/>
        <v/>
      </c>
    </row>
    <row r="148" spans="4:5" x14ac:dyDescent="0.25">
      <c r="D148" t="str">
        <f t="shared" si="27"/>
        <v/>
      </c>
      <c r="E148" t="str">
        <f t="shared" si="28"/>
        <v/>
      </c>
    </row>
    <row r="149" spans="4:5" x14ac:dyDescent="0.25">
      <c r="D149" t="str">
        <f t="shared" si="27"/>
        <v/>
      </c>
      <c r="E149" t="str">
        <f t="shared" si="28"/>
        <v/>
      </c>
    </row>
    <row r="150" spans="4:5" x14ac:dyDescent="0.25">
      <c r="D150" t="str">
        <f t="shared" si="27"/>
        <v/>
      </c>
      <c r="E150" t="str">
        <f t="shared" si="28"/>
        <v/>
      </c>
    </row>
    <row r="151" spans="4:5" x14ac:dyDescent="0.25">
      <c r="D151" t="str">
        <f t="shared" si="27"/>
        <v/>
      </c>
      <c r="E151" t="str">
        <f t="shared" si="28"/>
        <v/>
      </c>
    </row>
    <row r="152" spans="4:5" x14ac:dyDescent="0.25">
      <c r="D152" t="str">
        <f t="shared" si="27"/>
        <v/>
      </c>
      <c r="E152" t="str">
        <f t="shared" si="28"/>
        <v/>
      </c>
    </row>
    <row r="153" spans="4:5" x14ac:dyDescent="0.25">
      <c r="D153" t="str">
        <f t="shared" si="27"/>
        <v/>
      </c>
      <c r="E153" t="str">
        <f t="shared" si="28"/>
        <v/>
      </c>
    </row>
    <row r="154" spans="4:5" x14ac:dyDescent="0.25">
      <c r="D154" t="str">
        <f t="shared" si="27"/>
        <v/>
      </c>
      <c r="E154" t="str">
        <f t="shared" si="28"/>
        <v/>
      </c>
    </row>
    <row r="155" spans="4:5" x14ac:dyDescent="0.25">
      <c r="D155" t="str">
        <f t="shared" si="27"/>
        <v/>
      </c>
      <c r="E155" t="str">
        <f t="shared" si="28"/>
        <v/>
      </c>
    </row>
    <row r="156" spans="4:5" x14ac:dyDescent="0.25">
      <c r="D156" t="str">
        <f t="shared" si="27"/>
        <v/>
      </c>
      <c r="E156" t="str">
        <f t="shared" si="28"/>
        <v/>
      </c>
    </row>
    <row r="157" spans="4:5" x14ac:dyDescent="0.25">
      <c r="D157" t="str">
        <f t="shared" si="27"/>
        <v/>
      </c>
      <c r="E157" t="str">
        <f t="shared" si="28"/>
        <v/>
      </c>
    </row>
    <row r="158" spans="4:5" x14ac:dyDescent="0.25">
      <c r="D158" t="str">
        <f t="shared" si="27"/>
        <v/>
      </c>
      <c r="E158" t="str">
        <f t="shared" si="28"/>
        <v/>
      </c>
    </row>
    <row r="159" spans="4:5" x14ac:dyDescent="0.25">
      <c r="D159" t="str">
        <f t="shared" si="27"/>
        <v/>
      </c>
      <c r="E159" t="str">
        <f t="shared" si="28"/>
        <v/>
      </c>
    </row>
    <row r="160" spans="4:5" x14ac:dyDescent="0.25">
      <c r="D160" t="str">
        <f t="shared" si="27"/>
        <v/>
      </c>
      <c r="E160" t="str">
        <f t="shared" si="28"/>
        <v/>
      </c>
    </row>
    <row r="161" spans="4:5" x14ac:dyDescent="0.25">
      <c r="D161" t="str">
        <f t="shared" si="27"/>
        <v/>
      </c>
      <c r="E161" t="str">
        <f t="shared" si="28"/>
        <v/>
      </c>
    </row>
    <row r="162" spans="4:5" x14ac:dyDescent="0.25">
      <c r="D162" t="str">
        <f t="shared" si="27"/>
        <v/>
      </c>
      <c r="E162" t="str">
        <f t="shared" si="28"/>
        <v/>
      </c>
    </row>
    <row r="163" spans="4:5" x14ac:dyDescent="0.25">
      <c r="D163" t="str">
        <f t="shared" si="27"/>
        <v/>
      </c>
      <c r="E163" t="str">
        <f t="shared" si="28"/>
        <v/>
      </c>
    </row>
    <row r="164" spans="4:5" x14ac:dyDescent="0.25">
      <c r="D164" t="str">
        <f t="shared" si="27"/>
        <v/>
      </c>
      <c r="E164" t="str">
        <f t="shared" si="28"/>
        <v/>
      </c>
    </row>
    <row r="165" spans="4:5" x14ac:dyDescent="0.25">
      <c r="D165" t="str">
        <f t="shared" si="27"/>
        <v/>
      </c>
      <c r="E165" t="str">
        <f t="shared" si="28"/>
        <v/>
      </c>
    </row>
    <row r="166" spans="4:5" x14ac:dyDescent="0.25">
      <c r="D166" t="str">
        <f t="shared" si="27"/>
        <v/>
      </c>
      <c r="E166" t="str">
        <f t="shared" si="28"/>
        <v/>
      </c>
    </row>
    <row r="167" spans="4:5" x14ac:dyDescent="0.25">
      <c r="D167" t="str">
        <f t="shared" si="27"/>
        <v/>
      </c>
      <c r="E167" t="str">
        <f t="shared" si="28"/>
        <v/>
      </c>
    </row>
    <row r="168" spans="4:5" x14ac:dyDescent="0.25">
      <c r="D168" t="str">
        <f t="shared" si="27"/>
        <v/>
      </c>
      <c r="E168" t="str">
        <f t="shared" si="28"/>
        <v/>
      </c>
    </row>
    <row r="169" spans="4:5" x14ac:dyDescent="0.25">
      <c r="D169" t="str">
        <f t="shared" si="27"/>
        <v/>
      </c>
      <c r="E169" t="str">
        <f t="shared" si="28"/>
        <v/>
      </c>
    </row>
    <row r="170" spans="4:5" x14ac:dyDescent="0.25">
      <c r="D170" t="str">
        <f t="shared" si="27"/>
        <v/>
      </c>
      <c r="E170" t="str">
        <f t="shared" si="28"/>
        <v/>
      </c>
    </row>
    <row r="171" spans="4:5" x14ac:dyDescent="0.25">
      <c r="D171" t="str">
        <f t="shared" si="27"/>
        <v/>
      </c>
      <c r="E171" t="str">
        <f t="shared" si="28"/>
        <v/>
      </c>
    </row>
    <row r="172" spans="4:5" x14ac:dyDescent="0.25">
      <c r="D172" t="str">
        <f t="shared" si="27"/>
        <v/>
      </c>
      <c r="E172" t="str">
        <f t="shared" si="28"/>
        <v/>
      </c>
    </row>
    <row r="173" spans="4:5" x14ac:dyDescent="0.25">
      <c r="D173" t="str">
        <f t="shared" si="27"/>
        <v/>
      </c>
      <c r="E173" t="str">
        <f t="shared" si="28"/>
        <v/>
      </c>
    </row>
    <row r="174" spans="4:5" x14ac:dyDescent="0.25">
      <c r="D174" t="str">
        <f t="shared" si="27"/>
        <v/>
      </c>
      <c r="E174" t="str">
        <f t="shared" si="28"/>
        <v/>
      </c>
    </row>
    <row r="175" spans="4:5" x14ac:dyDescent="0.25">
      <c r="D175" t="str">
        <f t="shared" si="27"/>
        <v/>
      </c>
      <c r="E175" t="str">
        <f t="shared" si="28"/>
        <v/>
      </c>
    </row>
    <row r="176" spans="4:5" x14ac:dyDescent="0.25">
      <c r="D176" t="str">
        <f t="shared" si="27"/>
        <v/>
      </c>
      <c r="E176" t="str">
        <f t="shared" si="28"/>
        <v/>
      </c>
    </row>
    <row r="177" spans="4:5" x14ac:dyDescent="0.25">
      <c r="D177" t="str">
        <f t="shared" si="27"/>
        <v/>
      </c>
      <c r="E177" t="str">
        <f t="shared" si="28"/>
        <v/>
      </c>
    </row>
    <row r="178" spans="4:5" x14ac:dyDescent="0.25">
      <c r="D178" t="str">
        <f t="shared" si="27"/>
        <v/>
      </c>
      <c r="E178" t="str">
        <f t="shared" si="28"/>
        <v/>
      </c>
    </row>
    <row r="179" spans="4:5" x14ac:dyDescent="0.25">
      <c r="D179" t="str">
        <f t="shared" si="27"/>
        <v/>
      </c>
      <c r="E179" t="str">
        <f t="shared" si="28"/>
        <v/>
      </c>
    </row>
    <row r="180" spans="4:5" x14ac:dyDescent="0.25">
      <c r="D180" t="str">
        <f t="shared" si="27"/>
        <v/>
      </c>
      <c r="E180" t="str">
        <f t="shared" si="28"/>
        <v/>
      </c>
    </row>
    <row r="181" spans="4:5" x14ac:dyDescent="0.25">
      <c r="D181" t="str">
        <f t="shared" si="27"/>
        <v/>
      </c>
      <c r="E181" t="str">
        <f t="shared" si="28"/>
        <v/>
      </c>
    </row>
    <row r="182" spans="4:5" x14ac:dyDescent="0.25">
      <c r="D182" t="str">
        <f t="shared" si="27"/>
        <v/>
      </c>
      <c r="E182" t="str">
        <f t="shared" si="28"/>
        <v/>
      </c>
    </row>
    <row r="183" spans="4:5" x14ac:dyDescent="0.25">
      <c r="D183" t="str">
        <f t="shared" si="27"/>
        <v/>
      </c>
      <c r="E183" t="str">
        <f t="shared" si="28"/>
        <v/>
      </c>
    </row>
    <row r="184" spans="4:5" x14ac:dyDescent="0.25">
      <c r="D184" t="str">
        <f t="shared" si="27"/>
        <v/>
      </c>
      <c r="E184" t="str">
        <f t="shared" si="28"/>
        <v/>
      </c>
    </row>
    <row r="185" spans="4:5" x14ac:dyDescent="0.25">
      <c r="D185" t="str">
        <f t="shared" si="27"/>
        <v/>
      </c>
      <c r="E185" t="str">
        <f t="shared" si="28"/>
        <v/>
      </c>
    </row>
    <row r="186" spans="4:5" x14ac:dyDescent="0.25">
      <c r="D186" t="str">
        <f t="shared" si="27"/>
        <v/>
      </c>
      <c r="E186" t="str">
        <f t="shared" si="28"/>
        <v/>
      </c>
    </row>
    <row r="187" spans="4:5" x14ac:dyDescent="0.25">
      <c r="D187" t="str">
        <f t="shared" si="27"/>
        <v/>
      </c>
      <c r="E187" t="str">
        <f t="shared" si="28"/>
        <v/>
      </c>
    </row>
    <row r="188" spans="4:5" x14ac:dyDescent="0.25">
      <c r="D188" t="str">
        <f t="shared" si="27"/>
        <v/>
      </c>
      <c r="E188" t="str">
        <f t="shared" si="28"/>
        <v/>
      </c>
    </row>
    <row r="189" spans="4:5" x14ac:dyDescent="0.25">
      <c r="D189" t="str">
        <f t="shared" si="27"/>
        <v/>
      </c>
      <c r="E189" t="str">
        <f t="shared" si="28"/>
        <v/>
      </c>
    </row>
    <row r="190" spans="4:5" x14ac:dyDescent="0.25">
      <c r="D190" t="str">
        <f t="shared" si="27"/>
        <v/>
      </c>
      <c r="E190" t="str">
        <f t="shared" si="28"/>
        <v/>
      </c>
    </row>
    <row r="191" spans="4:5" x14ac:dyDescent="0.25">
      <c r="D191" t="str">
        <f t="shared" si="27"/>
        <v/>
      </c>
      <c r="E191" t="str">
        <f t="shared" si="28"/>
        <v/>
      </c>
    </row>
    <row r="192" spans="4:5" x14ac:dyDescent="0.25">
      <c r="D192" t="str">
        <f t="shared" si="27"/>
        <v/>
      </c>
      <c r="E192" t="str">
        <f t="shared" si="28"/>
        <v/>
      </c>
    </row>
    <row r="193" spans="4:5" x14ac:dyDescent="0.25">
      <c r="D193" t="str">
        <f t="shared" si="27"/>
        <v/>
      </c>
      <c r="E193" t="str">
        <f t="shared" si="28"/>
        <v/>
      </c>
    </row>
    <row r="194" spans="4:5" x14ac:dyDescent="0.25">
      <c r="D194" t="str">
        <f t="shared" si="27"/>
        <v/>
      </c>
      <c r="E194" t="str">
        <f t="shared" si="28"/>
        <v/>
      </c>
    </row>
    <row r="195" spans="4:5" x14ac:dyDescent="0.25">
      <c r="D195" t="str">
        <f t="shared" si="27"/>
        <v/>
      </c>
      <c r="E195" t="str">
        <f t="shared" si="28"/>
        <v/>
      </c>
    </row>
    <row r="196" spans="4:5" x14ac:dyDescent="0.25">
      <c r="D196" t="str">
        <f t="shared" ref="D196:D259" si="29">IF(C196="","",IF(C196="PRODUCTION","Taxable (T)",IF(C196="PÉDAGOGIE","Non Taxable (NT)",IF(C196="FONCTIONNEMENT GÉNÉRAL","Mutualisé (M)","ERREUR"))))</f>
        <v/>
      </c>
      <c r="E196" t="str">
        <f t="shared" si="28"/>
        <v/>
      </c>
    </row>
    <row r="197" spans="4:5" x14ac:dyDescent="0.25">
      <c r="D197" t="str">
        <f t="shared" si="29"/>
        <v/>
      </c>
      <c r="E197" t="str">
        <f t="shared" si="28"/>
        <v/>
      </c>
    </row>
    <row r="198" spans="4:5" x14ac:dyDescent="0.25">
      <c r="D198" t="str">
        <f t="shared" si="29"/>
        <v/>
      </c>
      <c r="E198" t="str">
        <f t="shared" si="28"/>
        <v/>
      </c>
    </row>
    <row r="199" spans="4:5" x14ac:dyDescent="0.25">
      <c r="D199" t="str">
        <f t="shared" si="29"/>
        <v/>
      </c>
      <c r="E199" t="str">
        <f t="shared" si="28"/>
        <v/>
      </c>
    </row>
    <row r="200" spans="4:5" x14ac:dyDescent="0.25">
      <c r="D200" t="str">
        <f t="shared" si="29"/>
        <v/>
      </c>
      <c r="E200" t="str">
        <f t="shared" si="28"/>
        <v/>
      </c>
    </row>
    <row r="201" spans="4:5" x14ac:dyDescent="0.25">
      <c r="D201" t="str">
        <f t="shared" si="29"/>
        <v/>
      </c>
      <c r="E201" t="str">
        <f t="shared" si="28"/>
        <v/>
      </c>
    </row>
    <row r="202" spans="4:5" x14ac:dyDescent="0.25">
      <c r="D202" t="str">
        <f t="shared" si="29"/>
        <v/>
      </c>
      <c r="E202" t="str">
        <f t="shared" si="28"/>
        <v/>
      </c>
    </row>
    <row r="203" spans="4:5" x14ac:dyDescent="0.25">
      <c r="D203" t="str">
        <f t="shared" si="29"/>
        <v/>
      </c>
      <c r="E203" t="str">
        <f t="shared" si="28"/>
        <v/>
      </c>
    </row>
    <row r="204" spans="4:5" x14ac:dyDescent="0.25">
      <c r="D204" t="str">
        <f t="shared" si="29"/>
        <v/>
      </c>
      <c r="E204" t="str">
        <f t="shared" si="28"/>
        <v/>
      </c>
    </row>
    <row r="205" spans="4:5" x14ac:dyDescent="0.25">
      <c r="D205" t="str">
        <f t="shared" si="29"/>
        <v/>
      </c>
      <c r="E205" t="str">
        <f t="shared" si="28"/>
        <v/>
      </c>
    </row>
    <row r="206" spans="4:5" x14ac:dyDescent="0.25">
      <c r="D206" t="str">
        <f t="shared" si="29"/>
        <v/>
      </c>
      <c r="E206" t="str">
        <f t="shared" ref="E206:E269" si="30">IF(C206="","",IF(C206="PRODUCTION","T",IF(C206="PÉDAGOGIE","NT",IF(C206="FONCTIONNEMENT GÉNÉRAL","M","ERREUR"))))</f>
        <v/>
      </c>
    </row>
    <row r="207" spans="4:5" x14ac:dyDescent="0.25">
      <c r="D207" t="str">
        <f t="shared" si="29"/>
        <v/>
      </c>
      <c r="E207" t="str">
        <f t="shared" si="30"/>
        <v/>
      </c>
    </row>
    <row r="208" spans="4:5" x14ac:dyDescent="0.25">
      <c r="D208" t="str">
        <f t="shared" si="29"/>
        <v/>
      </c>
      <c r="E208" t="str">
        <f t="shared" si="30"/>
        <v/>
      </c>
    </row>
    <row r="209" spans="4:5" x14ac:dyDescent="0.25">
      <c r="D209" t="str">
        <f t="shared" si="29"/>
        <v/>
      </c>
      <c r="E209" t="str">
        <f t="shared" si="30"/>
        <v/>
      </c>
    </row>
    <row r="210" spans="4:5" x14ac:dyDescent="0.25">
      <c r="D210" t="str">
        <f t="shared" si="29"/>
        <v/>
      </c>
      <c r="E210" t="str">
        <f t="shared" si="30"/>
        <v/>
      </c>
    </row>
    <row r="211" spans="4:5" x14ac:dyDescent="0.25">
      <c r="D211" t="str">
        <f t="shared" si="29"/>
        <v/>
      </c>
      <c r="E211" t="str">
        <f t="shared" si="30"/>
        <v/>
      </c>
    </row>
    <row r="212" spans="4:5" x14ac:dyDescent="0.25">
      <c r="D212" t="str">
        <f t="shared" si="29"/>
        <v/>
      </c>
      <c r="E212" t="str">
        <f t="shared" si="30"/>
        <v/>
      </c>
    </row>
    <row r="213" spans="4:5" x14ac:dyDescent="0.25">
      <c r="D213" t="str">
        <f t="shared" si="29"/>
        <v/>
      </c>
      <c r="E213" t="str">
        <f t="shared" si="30"/>
        <v/>
      </c>
    </row>
    <row r="214" spans="4:5" x14ac:dyDescent="0.25">
      <c r="D214" t="str">
        <f t="shared" si="29"/>
        <v/>
      </c>
      <c r="E214" t="str">
        <f t="shared" si="30"/>
        <v/>
      </c>
    </row>
    <row r="215" spans="4:5" x14ac:dyDescent="0.25">
      <c r="D215" t="str">
        <f t="shared" si="29"/>
        <v/>
      </c>
      <c r="E215" t="str">
        <f t="shared" si="30"/>
        <v/>
      </c>
    </row>
    <row r="216" spans="4:5" x14ac:dyDescent="0.25">
      <c r="D216" t="str">
        <f t="shared" si="29"/>
        <v/>
      </c>
      <c r="E216" t="str">
        <f t="shared" si="30"/>
        <v/>
      </c>
    </row>
    <row r="217" spans="4:5" x14ac:dyDescent="0.25">
      <c r="D217" t="str">
        <f t="shared" si="29"/>
        <v/>
      </c>
      <c r="E217" t="str">
        <f t="shared" si="30"/>
        <v/>
      </c>
    </row>
    <row r="218" spans="4:5" x14ac:dyDescent="0.25">
      <c r="D218" t="str">
        <f t="shared" si="29"/>
        <v/>
      </c>
      <c r="E218" t="str">
        <f t="shared" si="30"/>
        <v/>
      </c>
    </row>
    <row r="219" spans="4:5" x14ac:dyDescent="0.25">
      <c r="D219" t="str">
        <f t="shared" si="29"/>
        <v/>
      </c>
      <c r="E219" t="str">
        <f t="shared" si="30"/>
        <v/>
      </c>
    </row>
    <row r="220" spans="4:5" x14ac:dyDescent="0.25">
      <c r="D220" t="str">
        <f t="shared" si="29"/>
        <v/>
      </c>
      <c r="E220" t="str">
        <f t="shared" si="30"/>
        <v/>
      </c>
    </row>
    <row r="221" spans="4:5" x14ac:dyDescent="0.25">
      <c r="D221" t="str">
        <f t="shared" si="29"/>
        <v/>
      </c>
      <c r="E221" t="str">
        <f t="shared" si="30"/>
        <v/>
      </c>
    </row>
    <row r="222" spans="4:5" x14ac:dyDescent="0.25">
      <c r="D222" t="str">
        <f t="shared" si="29"/>
        <v/>
      </c>
      <c r="E222" t="str">
        <f t="shared" si="30"/>
        <v/>
      </c>
    </row>
    <row r="223" spans="4:5" x14ac:dyDescent="0.25">
      <c r="D223" t="str">
        <f t="shared" si="29"/>
        <v/>
      </c>
      <c r="E223" t="str">
        <f t="shared" si="30"/>
        <v/>
      </c>
    </row>
    <row r="224" spans="4:5" x14ac:dyDescent="0.25">
      <c r="D224" t="str">
        <f t="shared" si="29"/>
        <v/>
      </c>
      <c r="E224" t="str">
        <f t="shared" si="30"/>
        <v/>
      </c>
    </row>
    <row r="225" spans="4:5" x14ac:dyDescent="0.25">
      <c r="D225" t="str">
        <f t="shared" si="29"/>
        <v/>
      </c>
      <c r="E225" t="str">
        <f t="shared" si="30"/>
        <v/>
      </c>
    </row>
    <row r="226" spans="4:5" x14ac:dyDescent="0.25">
      <c r="D226" t="str">
        <f t="shared" si="29"/>
        <v/>
      </c>
      <c r="E226" t="str">
        <f t="shared" si="30"/>
        <v/>
      </c>
    </row>
    <row r="227" spans="4:5" x14ac:dyDescent="0.25">
      <c r="D227" t="str">
        <f t="shared" si="29"/>
        <v/>
      </c>
      <c r="E227" t="str">
        <f t="shared" si="30"/>
        <v/>
      </c>
    </row>
    <row r="228" spans="4:5" x14ac:dyDescent="0.25">
      <c r="D228" t="str">
        <f t="shared" si="29"/>
        <v/>
      </c>
      <c r="E228" t="str">
        <f t="shared" si="30"/>
        <v/>
      </c>
    </row>
    <row r="229" spans="4:5" x14ac:dyDescent="0.25">
      <c r="D229" t="str">
        <f t="shared" si="29"/>
        <v/>
      </c>
      <c r="E229" t="str">
        <f t="shared" si="30"/>
        <v/>
      </c>
    </row>
    <row r="230" spans="4:5" x14ac:dyDescent="0.25">
      <c r="D230" t="str">
        <f t="shared" si="29"/>
        <v/>
      </c>
      <c r="E230" t="str">
        <f t="shared" si="30"/>
        <v/>
      </c>
    </row>
    <row r="231" spans="4:5" x14ac:dyDescent="0.25">
      <c r="D231" t="str">
        <f t="shared" si="29"/>
        <v/>
      </c>
      <c r="E231" t="str">
        <f t="shared" si="30"/>
        <v/>
      </c>
    </row>
    <row r="232" spans="4:5" x14ac:dyDescent="0.25">
      <c r="D232" t="str">
        <f t="shared" si="29"/>
        <v/>
      </c>
      <c r="E232" t="str">
        <f t="shared" si="30"/>
        <v/>
      </c>
    </row>
    <row r="233" spans="4:5" x14ac:dyDescent="0.25">
      <c r="D233" t="str">
        <f t="shared" si="29"/>
        <v/>
      </c>
      <c r="E233" t="str">
        <f t="shared" si="30"/>
        <v/>
      </c>
    </row>
    <row r="234" spans="4:5" x14ac:dyDescent="0.25">
      <c r="D234" t="str">
        <f t="shared" si="29"/>
        <v/>
      </c>
      <c r="E234" t="str">
        <f t="shared" si="30"/>
        <v/>
      </c>
    </row>
    <row r="235" spans="4:5" x14ac:dyDescent="0.25">
      <c r="D235" t="str">
        <f t="shared" si="29"/>
        <v/>
      </c>
      <c r="E235" t="str">
        <f t="shared" si="30"/>
        <v/>
      </c>
    </row>
    <row r="236" spans="4:5" x14ac:dyDescent="0.25">
      <c r="D236" t="str">
        <f t="shared" si="29"/>
        <v/>
      </c>
      <c r="E236" t="str">
        <f t="shared" si="30"/>
        <v/>
      </c>
    </row>
    <row r="237" spans="4:5" x14ac:dyDescent="0.25">
      <c r="D237" t="str">
        <f t="shared" si="29"/>
        <v/>
      </c>
      <c r="E237" t="str">
        <f t="shared" si="30"/>
        <v/>
      </c>
    </row>
    <row r="238" spans="4:5" x14ac:dyDescent="0.25">
      <c r="D238" t="str">
        <f t="shared" si="29"/>
        <v/>
      </c>
      <c r="E238" t="str">
        <f t="shared" si="30"/>
        <v/>
      </c>
    </row>
    <row r="239" spans="4:5" x14ac:dyDescent="0.25">
      <c r="D239" t="str">
        <f t="shared" si="29"/>
        <v/>
      </c>
      <c r="E239" t="str">
        <f t="shared" si="30"/>
        <v/>
      </c>
    </row>
    <row r="240" spans="4:5" x14ac:dyDescent="0.25">
      <c r="D240" t="str">
        <f t="shared" si="29"/>
        <v/>
      </c>
      <c r="E240" t="str">
        <f t="shared" si="30"/>
        <v/>
      </c>
    </row>
    <row r="241" spans="4:5" x14ac:dyDescent="0.25">
      <c r="D241" t="str">
        <f t="shared" si="29"/>
        <v/>
      </c>
      <c r="E241" t="str">
        <f t="shared" si="30"/>
        <v/>
      </c>
    </row>
    <row r="242" spans="4:5" x14ac:dyDescent="0.25">
      <c r="D242" t="str">
        <f t="shared" si="29"/>
        <v/>
      </c>
      <c r="E242" t="str">
        <f t="shared" si="30"/>
        <v/>
      </c>
    </row>
    <row r="243" spans="4:5" x14ac:dyDescent="0.25">
      <c r="D243" t="str">
        <f t="shared" si="29"/>
        <v/>
      </c>
      <c r="E243" t="str">
        <f t="shared" si="30"/>
        <v/>
      </c>
    </row>
    <row r="244" spans="4:5" x14ac:dyDescent="0.25">
      <c r="D244" t="str">
        <f t="shared" si="29"/>
        <v/>
      </c>
      <c r="E244" t="str">
        <f t="shared" si="30"/>
        <v/>
      </c>
    </row>
    <row r="245" spans="4:5" x14ac:dyDescent="0.25">
      <c r="D245" t="str">
        <f t="shared" si="29"/>
        <v/>
      </c>
      <c r="E245" t="str">
        <f t="shared" si="30"/>
        <v/>
      </c>
    </row>
    <row r="246" spans="4:5" x14ac:dyDescent="0.25">
      <c r="D246" t="str">
        <f t="shared" si="29"/>
        <v/>
      </c>
      <c r="E246" t="str">
        <f t="shared" si="30"/>
        <v/>
      </c>
    </row>
    <row r="247" spans="4:5" x14ac:dyDescent="0.25">
      <c r="D247" t="str">
        <f t="shared" si="29"/>
        <v/>
      </c>
      <c r="E247" t="str">
        <f t="shared" si="30"/>
        <v/>
      </c>
    </row>
    <row r="248" spans="4:5" x14ac:dyDescent="0.25">
      <c r="D248" t="str">
        <f t="shared" si="29"/>
        <v/>
      </c>
      <c r="E248" t="str">
        <f t="shared" si="30"/>
        <v/>
      </c>
    </row>
    <row r="249" spans="4:5" x14ac:dyDescent="0.25">
      <c r="D249" t="str">
        <f t="shared" si="29"/>
        <v/>
      </c>
      <c r="E249" t="str">
        <f t="shared" si="30"/>
        <v/>
      </c>
    </row>
    <row r="250" spans="4:5" x14ac:dyDescent="0.25">
      <c r="D250" t="str">
        <f t="shared" si="29"/>
        <v/>
      </c>
      <c r="E250" t="str">
        <f t="shared" si="30"/>
        <v/>
      </c>
    </row>
    <row r="251" spans="4:5" x14ac:dyDescent="0.25">
      <c r="D251" t="str">
        <f t="shared" si="29"/>
        <v/>
      </c>
      <c r="E251" t="str">
        <f t="shared" si="30"/>
        <v/>
      </c>
    </row>
    <row r="252" spans="4:5" x14ac:dyDescent="0.25">
      <c r="D252" t="str">
        <f t="shared" si="29"/>
        <v/>
      </c>
      <c r="E252" t="str">
        <f t="shared" si="30"/>
        <v/>
      </c>
    </row>
    <row r="253" spans="4:5" x14ac:dyDescent="0.25">
      <c r="D253" t="str">
        <f t="shared" si="29"/>
        <v/>
      </c>
      <c r="E253" t="str">
        <f t="shared" si="30"/>
        <v/>
      </c>
    </row>
    <row r="254" spans="4:5" x14ac:dyDescent="0.25">
      <c r="D254" t="str">
        <f t="shared" si="29"/>
        <v/>
      </c>
      <c r="E254" t="str">
        <f t="shared" si="30"/>
        <v/>
      </c>
    </row>
    <row r="255" spans="4:5" x14ac:dyDescent="0.25">
      <c r="D255" t="str">
        <f t="shared" si="29"/>
        <v/>
      </c>
      <c r="E255" t="str">
        <f t="shared" si="30"/>
        <v/>
      </c>
    </row>
    <row r="256" spans="4:5" x14ac:dyDescent="0.25">
      <c r="D256" t="str">
        <f t="shared" si="29"/>
        <v/>
      </c>
      <c r="E256" t="str">
        <f t="shared" si="30"/>
        <v/>
      </c>
    </row>
    <row r="257" spans="4:5" x14ac:dyDescent="0.25">
      <c r="D257" t="str">
        <f t="shared" si="29"/>
        <v/>
      </c>
      <c r="E257" t="str">
        <f t="shared" si="30"/>
        <v/>
      </c>
    </row>
    <row r="258" spans="4:5" x14ac:dyDescent="0.25">
      <c r="D258" t="str">
        <f t="shared" si="29"/>
        <v/>
      </c>
      <c r="E258" t="str">
        <f t="shared" si="30"/>
        <v/>
      </c>
    </row>
    <row r="259" spans="4:5" x14ac:dyDescent="0.25">
      <c r="D259" t="str">
        <f t="shared" si="29"/>
        <v/>
      </c>
      <c r="E259" t="str">
        <f t="shared" si="30"/>
        <v/>
      </c>
    </row>
    <row r="260" spans="4:5" x14ac:dyDescent="0.25">
      <c r="D260" t="str">
        <f t="shared" ref="D260:D323" si="31">IF(C260="","",IF(C260="PRODUCTION","Taxable (T)",IF(C260="PÉDAGOGIE","Non Taxable (NT)",IF(C260="FONCTIONNEMENT GÉNÉRAL","Mutualisé (M)","ERREUR"))))</f>
        <v/>
      </c>
      <c r="E260" t="str">
        <f t="shared" si="30"/>
        <v/>
      </c>
    </row>
    <row r="261" spans="4:5" x14ac:dyDescent="0.25">
      <c r="D261" t="str">
        <f t="shared" si="31"/>
        <v/>
      </c>
      <c r="E261" t="str">
        <f t="shared" si="30"/>
        <v/>
      </c>
    </row>
    <row r="262" spans="4:5" x14ac:dyDescent="0.25">
      <c r="D262" t="str">
        <f t="shared" si="31"/>
        <v/>
      </c>
      <c r="E262" t="str">
        <f t="shared" si="30"/>
        <v/>
      </c>
    </row>
    <row r="263" spans="4:5" x14ac:dyDescent="0.25">
      <c r="D263" t="str">
        <f t="shared" si="31"/>
        <v/>
      </c>
      <c r="E263" t="str">
        <f t="shared" si="30"/>
        <v/>
      </c>
    </row>
    <row r="264" spans="4:5" x14ac:dyDescent="0.25">
      <c r="D264" t="str">
        <f t="shared" si="31"/>
        <v/>
      </c>
      <c r="E264" t="str">
        <f t="shared" si="30"/>
        <v/>
      </c>
    </row>
    <row r="265" spans="4:5" x14ac:dyDescent="0.25">
      <c r="D265" t="str">
        <f t="shared" si="31"/>
        <v/>
      </c>
      <c r="E265" t="str">
        <f t="shared" si="30"/>
        <v/>
      </c>
    </row>
    <row r="266" spans="4:5" x14ac:dyDescent="0.25">
      <c r="D266" t="str">
        <f t="shared" si="31"/>
        <v/>
      </c>
      <c r="E266" t="str">
        <f t="shared" si="30"/>
        <v/>
      </c>
    </row>
    <row r="267" spans="4:5" x14ac:dyDescent="0.25">
      <c r="D267" t="str">
        <f t="shared" si="31"/>
        <v/>
      </c>
      <c r="E267" t="str">
        <f t="shared" si="30"/>
        <v/>
      </c>
    </row>
    <row r="268" spans="4:5" x14ac:dyDescent="0.25">
      <c r="D268" t="str">
        <f t="shared" si="31"/>
        <v/>
      </c>
      <c r="E268" t="str">
        <f t="shared" si="30"/>
        <v/>
      </c>
    </row>
    <row r="269" spans="4:5" x14ac:dyDescent="0.25">
      <c r="D269" t="str">
        <f t="shared" si="31"/>
        <v/>
      </c>
      <c r="E269" t="str">
        <f t="shared" si="30"/>
        <v/>
      </c>
    </row>
    <row r="270" spans="4:5" x14ac:dyDescent="0.25">
      <c r="D270" t="str">
        <f t="shared" si="31"/>
        <v/>
      </c>
      <c r="E270" t="str">
        <f t="shared" ref="E270:E333" si="32">IF(C270="","",IF(C270="PRODUCTION","T",IF(C270="PÉDAGOGIE","NT",IF(C270="FONCTIONNEMENT GÉNÉRAL","M","ERREUR"))))</f>
        <v/>
      </c>
    </row>
    <row r="271" spans="4:5" x14ac:dyDescent="0.25">
      <c r="D271" t="str">
        <f t="shared" si="31"/>
        <v/>
      </c>
      <c r="E271" t="str">
        <f t="shared" si="32"/>
        <v/>
      </c>
    </row>
    <row r="272" spans="4:5" x14ac:dyDescent="0.25">
      <c r="D272" t="str">
        <f t="shared" si="31"/>
        <v/>
      </c>
      <c r="E272" t="str">
        <f t="shared" si="32"/>
        <v/>
      </c>
    </row>
    <row r="273" spans="4:5" x14ac:dyDescent="0.25">
      <c r="D273" t="str">
        <f t="shared" si="31"/>
        <v/>
      </c>
      <c r="E273" t="str">
        <f t="shared" si="32"/>
        <v/>
      </c>
    </row>
    <row r="274" spans="4:5" x14ac:dyDescent="0.25">
      <c r="D274" t="str">
        <f t="shared" si="31"/>
        <v/>
      </c>
      <c r="E274" t="str">
        <f t="shared" si="32"/>
        <v/>
      </c>
    </row>
    <row r="275" spans="4:5" x14ac:dyDescent="0.25">
      <c r="D275" t="str">
        <f t="shared" si="31"/>
        <v/>
      </c>
      <c r="E275" t="str">
        <f t="shared" si="32"/>
        <v/>
      </c>
    </row>
    <row r="276" spans="4:5" x14ac:dyDescent="0.25">
      <c r="D276" t="str">
        <f t="shared" si="31"/>
        <v/>
      </c>
      <c r="E276" t="str">
        <f t="shared" si="32"/>
        <v/>
      </c>
    </row>
    <row r="277" spans="4:5" x14ac:dyDescent="0.25">
      <c r="D277" t="str">
        <f t="shared" si="31"/>
        <v/>
      </c>
      <c r="E277" t="str">
        <f t="shared" si="32"/>
        <v/>
      </c>
    </row>
    <row r="278" spans="4:5" x14ac:dyDescent="0.25">
      <c r="D278" t="str">
        <f t="shared" si="31"/>
        <v/>
      </c>
      <c r="E278" t="str">
        <f t="shared" si="32"/>
        <v/>
      </c>
    </row>
    <row r="279" spans="4:5" x14ac:dyDescent="0.25">
      <c r="D279" t="str">
        <f t="shared" si="31"/>
        <v/>
      </c>
      <c r="E279" t="str">
        <f t="shared" si="32"/>
        <v/>
      </c>
    </row>
    <row r="280" spans="4:5" x14ac:dyDescent="0.25">
      <c r="D280" t="str">
        <f t="shared" si="31"/>
        <v/>
      </c>
      <c r="E280" t="str">
        <f t="shared" si="32"/>
        <v/>
      </c>
    </row>
    <row r="281" spans="4:5" x14ac:dyDescent="0.25">
      <c r="D281" t="str">
        <f t="shared" si="31"/>
        <v/>
      </c>
      <c r="E281" t="str">
        <f t="shared" si="32"/>
        <v/>
      </c>
    </row>
    <row r="282" spans="4:5" x14ac:dyDescent="0.25">
      <c r="D282" t="str">
        <f t="shared" si="31"/>
        <v/>
      </c>
      <c r="E282" t="str">
        <f t="shared" si="32"/>
        <v/>
      </c>
    </row>
    <row r="283" spans="4:5" x14ac:dyDescent="0.25">
      <c r="D283" t="str">
        <f t="shared" si="31"/>
        <v/>
      </c>
      <c r="E283" t="str">
        <f t="shared" si="32"/>
        <v/>
      </c>
    </row>
    <row r="284" spans="4:5" x14ac:dyDescent="0.25">
      <c r="D284" t="str">
        <f t="shared" si="31"/>
        <v/>
      </c>
      <c r="E284" t="str">
        <f t="shared" si="32"/>
        <v/>
      </c>
    </row>
    <row r="285" spans="4:5" x14ac:dyDescent="0.25">
      <c r="D285" t="str">
        <f t="shared" si="31"/>
        <v/>
      </c>
      <c r="E285" t="str">
        <f t="shared" si="32"/>
        <v/>
      </c>
    </row>
    <row r="286" spans="4:5" x14ac:dyDescent="0.25">
      <c r="D286" t="str">
        <f t="shared" si="31"/>
        <v/>
      </c>
      <c r="E286" t="str">
        <f t="shared" si="32"/>
        <v/>
      </c>
    </row>
    <row r="287" spans="4:5" x14ac:dyDescent="0.25">
      <c r="D287" t="str">
        <f t="shared" si="31"/>
        <v/>
      </c>
      <c r="E287" t="str">
        <f t="shared" si="32"/>
        <v/>
      </c>
    </row>
    <row r="288" spans="4:5" x14ac:dyDescent="0.25">
      <c r="D288" t="str">
        <f t="shared" si="31"/>
        <v/>
      </c>
      <c r="E288" t="str">
        <f t="shared" si="32"/>
        <v/>
      </c>
    </row>
    <row r="289" spans="4:5" x14ac:dyDescent="0.25">
      <c r="D289" t="str">
        <f t="shared" si="31"/>
        <v/>
      </c>
      <c r="E289" t="str">
        <f t="shared" si="32"/>
        <v/>
      </c>
    </row>
    <row r="290" spans="4:5" x14ac:dyDescent="0.25">
      <c r="D290" t="str">
        <f t="shared" si="31"/>
        <v/>
      </c>
      <c r="E290" t="str">
        <f t="shared" si="32"/>
        <v/>
      </c>
    </row>
    <row r="291" spans="4:5" x14ac:dyDescent="0.25">
      <c r="D291" t="str">
        <f t="shared" si="31"/>
        <v/>
      </c>
      <c r="E291" t="str">
        <f t="shared" si="32"/>
        <v/>
      </c>
    </row>
    <row r="292" spans="4:5" x14ac:dyDescent="0.25">
      <c r="D292" t="str">
        <f t="shared" si="31"/>
        <v/>
      </c>
      <c r="E292" t="str">
        <f t="shared" si="32"/>
        <v/>
      </c>
    </row>
    <row r="293" spans="4:5" x14ac:dyDescent="0.25">
      <c r="D293" t="str">
        <f t="shared" si="31"/>
        <v/>
      </c>
      <c r="E293" t="str">
        <f t="shared" si="32"/>
        <v/>
      </c>
    </row>
    <row r="294" spans="4:5" x14ac:dyDescent="0.25">
      <c r="D294" t="str">
        <f t="shared" si="31"/>
        <v/>
      </c>
      <c r="E294" t="str">
        <f t="shared" si="32"/>
        <v/>
      </c>
    </row>
    <row r="295" spans="4:5" x14ac:dyDescent="0.25">
      <c r="D295" t="str">
        <f t="shared" si="31"/>
        <v/>
      </c>
      <c r="E295" t="str">
        <f t="shared" si="32"/>
        <v/>
      </c>
    </row>
    <row r="296" spans="4:5" x14ac:dyDescent="0.25">
      <c r="D296" t="str">
        <f t="shared" si="31"/>
        <v/>
      </c>
      <c r="E296" t="str">
        <f t="shared" si="32"/>
        <v/>
      </c>
    </row>
    <row r="297" spans="4:5" x14ac:dyDescent="0.25">
      <c r="D297" t="str">
        <f t="shared" si="31"/>
        <v/>
      </c>
      <c r="E297" t="str">
        <f t="shared" si="32"/>
        <v/>
      </c>
    </row>
    <row r="298" spans="4:5" x14ac:dyDescent="0.25">
      <c r="D298" t="str">
        <f t="shared" si="31"/>
        <v/>
      </c>
      <c r="E298" t="str">
        <f t="shared" si="32"/>
        <v/>
      </c>
    </row>
    <row r="299" spans="4:5" x14ac:dyDescent="0.25">
      <c r="D299" t="str">
        <f t="shared" si="31"/>
        <v/>
      </c>
      <c r="E299" t="str">
        <f t="shared" si="32"/>
        <v/>
      </c>
    </row>
    <row r="300" spans="4:5" x14ac:dyDescent="0.25">
      <c r="D300" t="str">
        <f t="shared" si="31"/>
        <v/>
      </c>
      <c r="E300" t="str">
        <f t="shared" si="32"/>
        <v/>
      </c>
    </row>
    <row r="301" spans="4:5" x14ac:dyDescent="0.25">
      <c r="D301" t="str">
        <f t="shared" si="31"/>
        <v/>
      </c>
      <c r="E301" t="str">
        <f t="shared" si="32"/>
        <v/>
      </c>
    </row>
    <row r="302" spans="4:5" x14ac:dyDescent="0.25">
      <c r="D302" t="str">
        <f t="shared" si="31"/>
        <v/>
      </c>
      <c r="E302" t="str">
        <f t="shared" si="32"/>
        <v/>
      </c>
    </row>
    <row r="303" spans="4:5" x14ac:dyDescent="0.25">
      <c r="D303" t="str">
        <f t="shared" si="31"/>
        <v/>
      </c>
      <c r="E303" t="str">
        <f t="shared" si="32"/>
        <v/>
      </c>
    </row>
    <row r="304" spans="4:5" x14ac:dyDescent="0.25">
      <c r="D304" t="str">
        <f t="shared" si="31"/>
        <v/>
      </c>
      <c r="E304" t="str">
        <f t="shared" si="32"/>
        <v/>
      </c>
    </row>
    <row r="305" spans="4:5" x14ac:dyDescent="0.25">
      <c r="D305" t="str">
        <f t="shared" si="31"/>
        <v/>
      </c>
      <c r="E305" t="str">
        <f t="shared" si="32"/>
        <v/>
      </c>
    </row>
    <row r="306" spans="4:5" x14ac:dyDescent="0.25">
      <c r="D306" t="str">
        <f t="shared" si="31"/>
        <v/>
      </c>
      <c r="E306" t="str">
        <f t="shared" si="32"/>
        <v/>
      </c>
    </row>
    <row r="307" spans="4:5" x14ac:dyDescent="0.25">
      <c r="D307" t="str">
        <f t="shared" si="31"/>
        <v/>
      </c>
      <c r="E307" t="str">
        <f t="shared" si="32"/>
        <v/>
      </c>
    </row>
    <row r="308" spans="4:5" x14ac:dyDescent="0.25">
      <c r="D308" t="str">
        <f t="shared" si="31"/>
        <v/>
      </c>
      <c r="E308" t="str">
        <f t="shared" si="32"/>
        <v/>
      </c>
    </row>
    <row r="309" spans="4:5" x14ac:dyDescent="0.25">
      <c r="D309" t="str">
        <f t="shared" si="31"/>
        <v/>
      </c>
      <c r="E309" t="str">
        <f t="shared" si="32"/>
        <v/>
      </c>
    </row>
    <row r="310" spans="4:5" x14ac:dyDescent="0.25">
      <c r="D310" t="str">
        <f t="shared" si="31"/>
        <v/>
      </c>
      <c r="E310" t="str">
        <f t="shared" si="32"/>
        <v/>
      </c>
    </row>
    <row r="311" spans="4:5" x14ac:dyDescent="0.25">
      <c r="D311" t="str">
        <f t="shared" si="31"/>
        <v/>
      </c>
      <c r="E311" t="str">
        <f t="shared" si="32"/>
        <v/>
      </c>
    </row>
    <row r="312" spans="4:5" x14ac:dyDescent="0.25">
      <c r="D312" t="str">
        <f t="shared" si="31"/>
        <v/>
      </c>
      <c r="E312" t="str">
        <f t="shared" si="32"/>
        <v/>
      </c>
    </row>
    <row r="313" spans="4:5" x14ac:dyDescent="0.25">
      <c r="D313" t="str">
        <f t="shared" si="31"/>
        <v/>
      </c>
      <c r="E313" t="str">
        <f t="shared" si="32"/>
        <v/>
      </c>
    </row>
    <row r="314" spans="4:5" x14ac:dyDescent="0.25">
      <c r="D314" t="str">
        <f t="shared" si="31"/>
        <v/>
      </c>
      <c r="E314" t="str">
        <f t="shared" si="32"/>
        <v/>
      </c>
    </row>
    <row r="315" spans="4:5" x14ac:dyDescent="0.25">
      <c r="D315" t="str">
        <f t="shared" si="31"/>
        <v/>
      </c>
      <c r="E315" t="str">
        <f t="shared" si="32"/>
        <v/>
      </c>
    </row>
    <row r="316" spans="4:5" x14ac:dyDescent="0.25">
      <c r="D316" t="str">
        <f t="shared" si="31"/>
        <v/>
      </c>
      <c r="E316" t="str">
        <f t="shared" si="32"/>
        <v/>
      </c>
    </row>
    <row r="317" spans="4:5" x14ac:dyDescent="0.25">
      <c r="D317" t="str">
        <f t="shared" si="31"/>
        <v/>
      </c>
      <c r="E317" t="str">
        <f t="shared" si="32"/>
        <v/>
      </c>
    </row>
    <row r="318" spans="4:5" x14ac:dyDescent="0.25">
      <c r="D318" t="str">
        <f t="shared" si="31"/>
        <v/>
      </c>
      <c r="E318" t="str">
        <f t="shared" si="32"/>
        <v/>
      </c>
    </row>
    <row r="319" spans="4:5" x14ac:dyDescent="0.25">
      <c r="D319" t="str">
        <f t="shared" si="31"/>
        <v/>
      </c>
      <c r="E319" t="str">
        <f t="shared" si="32"/>
        <v/>
      </c>
    </row>
    <row r="320" spans="4:5" x14ac:dyDescent="0.25">
      <c r="D320" t="str">
        <f t="shared" si="31"/>
        <v/>
      </c>
      <c r="E320" t="str">
        <f t="shared" si="32"/>
        <v/>
      </c>
    </row>
    <row r="321" spans="4:5" x14ac:dyDescent="0.25">
      <c r="D321" t="str">
        <f t="shared" si="31"/>
        <v/>
      </c>
      <c r="E321" t="str">
        <f t="shared" si="32"/>
        <v/>
      </c>
    </row>
    <row r="322" spans="4:5" x14ac:dyDescent="0.25">
      <c r="D322" t="str">
        <f t="shared" si="31"/>
        <v/>
      </c>
      <c r="E322" t="str">
        <f t="shared" si="32"/>
        <v/>
      </c>
    </row>
    <row r="323" spans="4:5" x14ac:dyDescent="0.25">
      <c r="D323" t="str">
        <f t="shared" si="31"/>
        <v/>
      </c>
      <c r="E323" t="str">
        <f t="shared" si="32"/>
        <v/>
      </c>
    </row>
    <row r="324" spans="4:5" x14ac:dyDescent="0.25">
      <c r="D324" t="str">
        <f t="shared" ref="D324:D387" si="33">IF(C324="","",IF(C324="PRODUCTION","Taxable (T)",IF(C324="PÉDAGOGIE","Non Taxable (NT)",IF(C324="FONCTIONNEMENT GÉNÉRAL","Mutualisé (M)","ERREUR"))))</f>
        <v/>
      </c>
      <c r="E324" t="str">
        <f t="shared" si="32"/>
        <v/>
      </c>
    </row>
    <row r="325" spans="4:5" x14ac:dyDescent="0.25">
      <c r="D325" t="str">
        <f t="shared" si="33"/>
        <v/>
      </c>
      <c r="E325" t="str">
        <f t="shared" si="32"/>
        <v/>
      </c>
    </row>
    <row r="326" spans="4:5" x14ac:dyDescent="0.25">
      <c r="D326" t="str">
        <f t="shared" si="33"/>
        <v/>
      </c>
      <c r="E326" t="str">
        <f t="shared" si="32"/>
        <v/>
      </c>
    </row>
    <row r="327" spans="4:5" x14ac:dyDescent="0.25">
      <c r="D327" t="str">
        <f t="shared" si="33"/>
        <v/>
      </c>
      <c r="E327" t="str">
        <f t="shared" si="32"/>
        <v/>
      </c>
    </row>
    <row r="328" spans="4:5" x14ac:dyDescent="0.25">
      <c r="D328" t="str">
        <f t="shared" si="33"/>
        <v/>
      </c>
      <c r="E328" t="str">
        <f t="shared" si="32"/>
        <v/>
      </c>
    </row>
    <row r="329" spans="4:5" x14ac:dyDescent="0.25">
      <c r="D329" t="str">
        <f t="shared" si="33"/>
        <v/>
      </c>
      <c r="E329" t="str">
        <f t="shared" si="32"/>
        <v/>
      </c>
    </row>
    <row r="330" spans="4:5" x14ac:dyDescent="0.25">
      <c r="D330" t="str">
        <f t="shared" si="33"/>
        <v/>
      </c>
      <c r="E330" t="str">
        <f t="shared" si="32"/>
        <v/>
      </c>
    </row>
    <row r="331" spans="4:5" x14ac:dyDescent="0.25">
      <c r="D331" t="str">
        <f t="shared" si="33"/>
        <v/>
      </c>
      <c r="E331" t="str">
        <f t="shared" si="32"/>
        <v/>
      </c>
    </row>
    <row r="332" spans="4:5" x14ac:dyDescent="0.25">
      <c r="D332" t="str">
        <f t="shared" si="33"/>
        <v/>
      </c>
      <c r="E332" t="str">
        <f t="shared" si="32"/>
        <v/>
      </c>
    </row>
    <row r="333" spans="4:5" x14ac:dyDescent="0.25">
      <c r="D333" t="str">
        <f t="shared" si="33"/>
        <v/>
      </c>
      <c r="E333" t="str">
        <f t="shared" si="32"/>
        <v/>
      </c>
    </row>
    <row r="334" spans="4:5" x14ac:dyDescent="0.25">
      <c r="D334" t="str">
        <f t="shared" si="33"/>
        <v/>
      </c>
      <c r="E334" t="str">
        <f t="shared" ref="E334:E397" si="34">IF(C334="","",IF(C334="PRODUCTION","T",IF(C334="PÉDAGOGIE","NT",IF(C334="FONCTIONNEMENT GÉNÉRAL","M","ERREUR"))))</f>
        <v/>
      </c>
    </row>
    <row r="335" spans="4:5" x14ac:dyDescent="0.25">
      <c r="D335" t="str">
        <f t="shared" si="33"/>
        <v/>
      </c>
      <c r="E335" t="str">
        <f t="shared" si="34"/>
        <v/>
      </c>
    </row>
    <row r="336" spans="4:5" x14ac:dyDescent="0.25">
      <c r="D336" t="str">
        <f t="shared" si="33"/>
        <v/>
      </c>
      <c r="E336" t="str">
        <f t="shared" si="34"/>
        <v/>
      </c>
    </row>
    <row r="337" spans="4:5" x14ac:dyDescent="0.25">
      <c r="D337" t="str">
        <f t="shared" si="33"/>
        <v/>
      </c>
      <c r="E337" t="str">
        <f t="shared" si="34"/>
        <v/>
      </c>
    </row>
    <row r="338" spans="4:5" x14ac:dyDescent="0.25">
      <c r="D338" t="str">
        <f t="shared" si="33"/>
        <v/>
      </c>
      <c r="E338" t="str">
        <f t="shared" si="34"/>
        <v/>
      </c>
    </row>
    <row r="339" spans="4:5" x14ac:dyDescent="0.25">
      <c r="D339" t="str">
        <f t="shared" si="33"/>
        <v/>
      </c>
      <c r="E339" t="str">
        <f t="shared" si="34"/>
        <v/>
      </c>
    </row>
    <row r="340" spans="4:5" x14ac:dyDescent="0.25">
      <c r="D340" t="str">
        <f t="shared" si="33"/>
        <v/>
      </c>
      <c r="E340" t="str">
        <f t="shared" si="34"/>
        <v/>
      </c>
    </row>
    <row r="341" spans="4:5" x14ac:dyDescent="0.25">
      <c r="D341" t="str">
        <f t="shared" si="33"/>
        <v/>
      </c>
      <c r="E341" t="str">
        <f t="shared" si="34"/>
        <v/>
      </c>
    </row>
    <row r="342" spans="4:5" x14ac:dyDescent="0.25">
      <c r="D342" t="str">
        <f t="shared" si="33"/>
        <v/>
      </c>
      <c r="E342" t="str">
        <f t="shared" si="34"/>
        <v/>
      </c>
    </row>
    <row r="343" spans="4:5" x14ac:dyDescent="0.25">
      <c r="D343" t="str">
        <f t="shared" si="33"/>
        <v/>
      </c>
      <c r="E343" t="str">
        <f t="shared" si="34"/>
        <v/>
      </c>
    </row>
    <row r="344" spans="4:5" x14ac:dyDescent="0.25">
      <c r="D344" t="str">
        <f t="shared" si="33"/>
        <v/>
      </c>
      <c r="E344" t="str">
        <f t="shared" si="34"/>
        <v/>
      </c>
    </row>
    <row r="345" spans="4:5" x14ac:dyDescent="0.25">
      <c r="D345" t="str">
        <f t="shared" si="33"/>
        <v/>
      </c>
      <c r="E345" t="str">
        <f t="shared" si="34"/>
        <v/>
      </c>
    </row>
    <row r="346" spans="4:5" x14ac:dyDescent="0.25">
      <c r="D346" t="str">
        <f t="shared" si="33"/>
        <v/>
      </c>
      <c r="E346" t="str">
        <f t="shared" si="34"/>
        <v/>
      </c>
    </row>
    <row r="347" spans="4:5" x14ac:dyDescent="0.25">
      <c r="D347" t="str">
        <f t="shared" si="33"/>
        <v/>
      </c>
      <c r="E347" t="str">
        <f t="shared" si="34"/>
        <v/>
      </c>
    </row>
    <row r="348" spans="4:5" x14ac:dyDescent="0.25">
      <c r="D348" t="str">
        <f t="shared" si="33"/>
        <v/>
      </c>
      <c r="E348" t="str">
        <f t="shared" si="34"/>
        <v/>
      </c>
    </row>
    <row r="349" spans="4:5" x14ac:dyDescent="0.25">
      <c r="D349" t="str">
        <f t="shared" si="33"/>
        <v/>
      </c>
      <c r="E349" t="str">
        <f t="shared" si="34"/>
        <v/>
      </c>
    </row>
    <row r="350" spans="4:5" x14ac:dyDescent="0.25">
      <c r="D350" t="str">
        <f t="shared" si="33"/>
        <v/>
      </c>
      <c r="E350" t="str">
        <f t="shared" si="34"/>
        <v/>
      </c>
    </row>
    <row r="351" spans="4:5" x14ac:dyDescent="0.25">
      <c r="D351" t="str">
        <f t="shared" si="33"/>
        <v/>
      </c>
      <c r="E351" t="str">
        <f t="shared" si="34"/>
        <v/>
      </c>
    </row>
    <row r="352" spans="4:5" x14ac:dyDescent="0.25">
      <c r="D352" t="str">
        <f t="shared" si="33"/>
        <v/>
      </c>
      <c r="E352" t="str">
        <f t="shared" si="34"/>
        <v/>
      </c>
    </row>
    <row r="353" spans="4:5" x14ac:dyDescent="0.25">
      <c r="D353" t="str">
        <f t="shared" si="33"/>
        <v/>
      </c>
      <c r="E353" t="str">
        <f t="shared" si="34"/>
        <v/>
      </c>
    </row>
    <row r="354" spans="4:5" x14ac:dyDescent="0.25">
      <c r="D354" t="str">
        <f t="shared" si="33"/>
        <v/>
      </c>
      <c r="E354" t="str">
        <f t="shared" si="34"/>
        <v/>
      </c>
    </row>
    <row r="355" spans="4:5" x14ac:dyDescent="0.25">
      <c r="D355" t="str">
        <f t="shared" si="33"/>
        <v/>
      </c>
      <c r="E355" t="str">
        <f t="shared" si="34"/>
        <v/>
      </c>
    </row>
    <row r="356" spans="4:5" x14ac:dyDescent="0.25">
      <c r="D356" t="str">
        <f t="shared" si="33"/>
        <v/>
      </c>
      <c r="E356" t="str">
        <f t="shared" si="34"/>
        <v/>
      </c>
    </row>
    <row r="357" spans="4:5" x14ac:dyDescent="0.25">
      <c r="D357" t="str">
        <f t="shared" si="33"/>
        <v/>
      </c>
      <c r="E357" t="str">
        <f t="shared" si="34"/>
        <v/>
      </c>
    </row>
    <row r="358" spans="4:5" x14ac:dyDescent="0.25">
      <c r="D358" t="str">
        <f t="shared" si="33"/>
        <v/>
      </c>
      <c r="E358" t="str">
        <f t="shared" si="34"/>
        <v/>
      </c>
    </row>
    <row r="359" spans="4:5" x14ac:dyDescent="0.25">
      <c r="D359" t="str">
        <f t="shared" si="33"/>
        <v/>
      </c>
      <c r="E359" t="str">
        <f t="shared" si="34"/>
        <v/>
      </c>
    </row>
    <row r="360" spans="4:5" x14ac:dyDescent="0.25">
      <c r="D360" t="str">
        <f t="shared" si="33"/>
        <v/>
      </c>
      <c r="E360" t="str">
        <f t="shared" si="34"/>
        <v/>
      </c>
    </row>
    <row r="361" spans="4:5" x14ac:dyDescent="0.25">
      <c r="D361" t="str">
        <f t="shared" si="33"/>
        <v/>
      </c>
      <c r="E361" t="str">
        <f t="shared" si="34"/>
        <v/>
      </c>
    </row>
    <row r="362" spans="4:5" x14ac:dyDescent="0.25">
      <c r="D362" t="str">
        <f t="shared" si="33"/>
        <v/>
      </c>
      <c r="E362" t="str">
        <f t="shared" si="34"/>
        <v/>
      </c>
    </row>
    <row r="363" spans="4:5" x14ac:dyDescent="0.25">
      <c r="D363" t="str">
        <f t="shared" si="33"/>
        <v/>
      </c>
      <c r="E363" t="str">
        <f t="shared" si="34"/>
        <v/>
      </c>
    </row>
    <row r="364" spans="4:5" x14ac:dyDescent="0.25">
      <c r="D364" t="str">
        <f t="shared" si="33"/>
        <v/>
      </c>
      <c r="E364" t="str">
        <f t="shared" si="34"/>
        <v/>
      </c>
    </row>
    <row r="365" spans="4:5" x14ac:dyDescent="0.25">
      <c r="D365" t="str">
        <f t="shared" si="33"/>
        <v/>
      </c>
      <c r="E365" t="str">
        <f t="shared" si="34"/>
        <v/>
      </c>
    </row>
    <row r="366" spans="4:5" x14ac:dyDescent="0.25">
      <c r="D366" t="str">
        <f t="shared" si="33"/>
        <v/>
      </c>
      <c r="E366" t="str">
        <f t="shared" si="34"/>
        <v/>
      </c>
    </row>
    <row r="367" spans="4:5" x14ac:dyDescent="0.25">
      <c r="D367" t="str">
        <f t="shared" si="33"/>
        <v/>
      </c>
      <c r="E367" t="str">
        <f t="shared" si="34"/>
        <v/>
      </c>
    </row>
    <row r="368" spans="4:5" x14ac:dyDescent="0.25">
      <c r="D368" t="str">
        <f t="shared" si="33"/>
        <v/>
      </c>
      <c r="E368" t="str">
        <f t="shared" si="34"/>
        <v/>
      </c>
    </row>
    <row r="369" spans="4:5" x14ac:dyDescent="0.25">
      <c r="D369" t="str">
        <f t="shared" si="33"/>
        <v/>
      </c>
      <c r="E369" t="str">
        <f t="shared" si="34"/>
        <v/>
      </c>
    </row>
    <row r="370" spans="4:5" x14ac:dyDescent="0.25">
      <c r="D370" t="str">
        <f t="shared" si="33"/>
        <v/>
      </c>
      <c r="E370" t="str">
        <f t="shared" si="34"/>
        <v/>
      </c>
    </row>
    <row r="371" spans="4:5" x14ac:dyDescent="0.25">
      <c r="D371" t="str">
        <f t="shared" si="33"/>
        <v/>
      </c>
      <c r="E371" t="str">
        <f t="shared" si="34"/>
        <v/>
      </c>
    </row>
    <row r="372" spans="4:5" x14ac:dyDescent="0.25">
      <c r="D372" t="str">
        <f t="shared" si="33"/>
        <v/>
      </c>
      <c r="E372" t="str">
        <f t="shared" si="34"/>
        <v/>
      </c>
    </row>
    <row r="373" spans="4:5" x14ac:dyDescent="0.25">
      <c r="D373" t="str">
        <f t="shared" si="33"/>
        <v/>
      </c>
      <c r="E373" t="str">
        <f t="shared" si="34"/>
        <v/>
      </c>
    </row>
    <row r="374" spans="4:5" x14ac:dyDescent="0.25">
      <c r="D374" t="str">
        <f t="shared" si="33"/>
        <v/>
      </c>
      <c r="E374" t="str">
        <f t="shared" si="34"/>
        <v/>
      </c>
    </row>
    <row r="375" spans="4:5" x14ac:dyDescent="0.25">
      <c r="D375" t="str">
        <f t="shared" si="33"/>
        <v/>
      </c>
      <c r="E375" t="str">
        <f t="shared" si="34"/>
        <v/>
      </c>
    </row>
    <row r="376" spans="4:5" x14ac:dyDescent="0.25">
      <c r="D376" t="str">
        <f t="shared" si="33"/>
        <v/>
      </c>
      <c r="E376" t="str">
        <f t="shared" si="34"/>
        <v/>
      </c>
    </row>
    <row r="377" spans="4:5" x14ac:dyDescent="0.25">
      <c r="D377" t="str">
        <f t="shared" si="33"/>
        <v/>
      </c>
      <c r="E377" t="str">
        <f t="shared" si="34"/>
        <v/>
      </c>
    </row>
    <row r="378" spans="4:5" x14ac:dyDescent="0.25">
      <c r="D378" t="str">
        <f t="shared" si="33"/>
        <v/>
      </c>
      <c r="E378" t="str">
        <f t="shared" si="34"/>
        <v/>
      </c>
    </row>
    <row r="379" spans="4:5" x14ac:dyDescent="0.25">
      <c r="D379" t="str">
        <f t="shared" si="33"/>
        <v/>
      </c>
      <c r="E379" t="str">
        <f t="shared" si="34"/>
        <v/>
      </c>
    </row>
    <row r="380" spans="4:5" x14ac:dyDescent="0.25">
      <c r="D380" t="str">
        <f t="shared" si="33"/>
        <v/>
      </c>
      <c r="E380" t="str">
        <f t="shared" si="34"/>
        <v/>
      </c>
    </row>
    <row r="381" spans="4:5" x14ac:dyDescent="0.25">
      <c r="D381" t="str">
        <f t="shared" si="33"/>
        <v/>
      </c>
      <c r="E381" t="str">
        <f t="shared" si="34"/>
        <v/>
      </c>
    </row>
    <row r="382" spans="4:5" x14ac:dyDescent="0.25">
      <c r="D382" t="str">
        <f t="shared" si="33"/>
        <v/>
      </c>
      <c r="E382" t="str">
        <f t="shared" si="34"/>
        <v/>
      </c>
    </row>
    <row r="383" spans="4:5" x14ac:dyDescent="0.25">
      <c r="D383" t="str">
        <f t="shared" si="33"/>
        <v/>
      </c>
      <c r="E383" t="str">
        <f t="shared" si="34"/>
        <v/>
      </c>
    </row>
    <row r="384" spans="4:5" x14ac:dyDescent="0.25">
      <c r="D384" t="str">
        <f t="shared" si="33"/>
        <v/>
      </c>
      <c r="E384" t="str">
        <f t="shared" si="34"/>
        <v/>
      </c>
    </row>
    <row r="385" spans="4:5" x14ac:dyDescent="0.25">
      <c r="D385" t="str">
        <f t="shared" si="33"/>
        <v/>
      </c>
      <c r="E385" t="str">
        <f t="shared" si="34"/>
        <v/>
      </c>
    </row>
    <row r="386" spans="4:5" x14ac:dyDescent="0.25">
      <c r="D386" t="str">
        <f t="shared" si="33"/>
        <v/>
      </c>
      <c r="E386" t="str">
        <f t="shared" si="34"/>
        <v/>
      </c>
    </row>
    <row r="387" spans="4:5" x14ac:dyDescent="0.25">
      <c r="D387" t="str">
        <f t="shared" si="33"/>
        <v/>
      </c>
      <c r="E387" t="str">
        <f t="shared" si="34"/>
        <v/>
      </c>
    </row>
    <row r="388" spans="4:5" x14ac:dyDescent="0.25">
      <c r="D388" t="str">
        <f t="shared" ref="D388:D451" si="35">IF(C388="","",IF(C388="PRODUCTION","Taxable (T)",IF(C388="PÉDAGOGIE","Non Taxable (NT)",IF(C388="FONCTIONNEMENT GÉNÉRAL","Mutualisé (M)","ERREUR"))))</f>
        <v/>
      </c>
      <c r="E388" t="str">
        <f t="shared" si="34"/>
        <v/>
      </c>
    </row>
    <row r="389" spans="4:5" x14ac:dyDescent="0.25">
      <c r="D389" t="str">
        <f t="shared" si="35"/>
        <v/>
      </c>
      <c r="E389" t="str">
        <f t="shared" si="34"/>
        <v/>
      </c>
    </row>
    <row r="390" spans="4:5" x14ac:dyDescent="0.25">
      <c r="D390" t="str">
        <f t="shared" si="35"/>
        <v/>
      </c>
      <c r="E390" t="str">
        <f t="shared" si="34"/>
        <v/>
      </c>
    </row>
    <row r="391" spans="4:5" x14ac:dyDescent="0.25">
      <c r="D391" t="str">
        <f t="shared" si="35"/>
        <v/>
      </c>
      <c r="E391" t="str">
        <f t="shared" si="34"/>
        <v/>
      </c>
    </row>
    <row r="392" spans="4:5" x14ac:dyDescent="0.25">
      <c r="D392" t="str">
        <f t="shared" si="35"/>
        <v/>
      </c>
      <c r="E392" t="str">
        <f t="shared" si="34"/>
        <v/>
      </c>
    </row>
    <row r="393" spans="4:5" x14ac:dyDescent="0.25">
      <c r="D393" t="str">
        <f t="shared" si="35"/>
        <v/>
      </c>
      <c r="E393" t="str">
        <f t="shared" si="34"/>
        <v/>
      </c>
    </row>
    <row r="394" spans="4:5" x14ac:dyDescent="0.25">
      <c r="D394" t="str">
        <f t="shared" si="35"/>
        <v/>
      </c>
      <c r="E394" t="str">
        <f t="shared" si="34"/>
        <v/>
      </c>
    </row>
    <row r="395" spans="4:5" x14ac:dyDescent="0.25">
      <c r="D395" t="str">
        <f t="shared" si="35"/>
        <v/>
      </c>
      <c r="E395" t="str">
        <f t="shared" si="34"/>
        <v/>
      </c>
    </row>
    <row r="396" spans="4:5" x14ac:dyDescent="0.25">
      <c r="D396" t="str">
        <f t="shared" si="35"/>
        <v/>
      </c>
      <c r="E396" t="str">
        <f t="shared" si="34"/>
        <v/>
      </c>
    </row>
    <row r="397" spans="4:5" x14ac:dyDescent="0.25">
      <c r="D397" t="str">
        <f t="shared" si="35"/>
        <v/>
      </c>
      <c r="E397" t="str">
        <f t="shared" si="34"/>
        <v/>
      </c>
    </row>
    <row r="398" spans="4:5" x14ac:dyDescent="0.25">
      <c r="D398" t="str">
        <f t="shared" si="35"/>
        <v/>
      </c>
      <c r="E398" t="str">
        <f t="shared" ref="E398:E461" si="36">IF(C398="","",IF(C398="PRODUCTION","T",IF(C398="PÉDAGOGIE","NT",IF(C398="FONCTIONNEMENT GÉNÉRAL","M","ERREUR"))))</f>
        <v/>
      </c>
    </row>
    <row r="399" spans="4:5" x14ac:dyDescent="0.25">
      <c r="D399" t="str">
        <f t="shared" si="35"/>
        <v/>
      </c>
      <c r="E399" t="str">
        <f t="shared" si="36"/>
        <v/>
      </c>
    </row>
    <row r="400" spans="4:5" x14ac:dyDescent="0.25">
      <c r="D400" t="str">
        <f t="shared" si="35"/>
        <v/>
      </c>
      <c r="E400" t="str">
        <f t="shared" si="36"/>
        <v/>
      </c>
    </row>
    <row r="401" spans="4:5" x14ac:dyDescent="0.25">
      <c r="D401" t="str">
        <f t="shared" si="35"/>
        <v/>
      </c>
      <c r="E401" t="str">
        <f t="shared" si="36"/>
        <v/>
      </c>
    </row>
    <row r="402" spans="4:5" x14ac:dyDescent="0.25">
      <c r="D402" t="str">
        <f t="shared" si="35"/>
        <v/>
      </c>
      <c r="E402" t="str">
        <f t="shared" si="36"/>
        <v/>
      </c>
    </row>
    <row r="403" spans="4:5" x14ac:dyDescent="0.25">
      <c r="D403" t="str">
        <f t="shared" si="35"/>
        <v/>
      </c>
      <c r="E403" t="str">
        <f t="shared" si="36"/>
        <v/>
      </c>
    </row>
    <row r="404" spans="4:5" x14ac:dyDescent="0.25">
      <c r="D404" t="str">
        <f t="shared" si="35"/>
        <v/>
      </c>
      <c r="E404" t="str">
        <f t="shared" si="36"/>
        <v/>
      </c>
    </row>
    <row r="405" spans="4:5" x14ac:dyDescent="0.25">
      <c r="D405" t="str">
        <f t="shared" si="35"/>
        <v/>
      </c>
      <c r="E405" t="str">
        <f t="shared" si="36"/>
        <v/>
      </c>
    </row>
    <row r="406" spans="4:5" x14ac:dyDescent="0.25">
      <c r="D406" t="str">
        <f t="shared" si="35"/>
        <v/>
      </c>
      <c r="E406" t="str">
        <f t="shared" si="36"/>
        <v/>
      </c>
    </row>
    <row r="407" spans="4:5" x14ac:dyDescent="0.25">
      <c r="D407" t="str">
        <f t="shared" si="35"/>
        <v/>
      </c>
      <c r="E407" t="str">
        <f t="shared" si="36"/>
        <v/>
      </c>
    </row>
    <row r="408" spans="4:5" x14ac:dyDescent="0.25">
      <c r="D408" t="str">
        <f t="shared" si="35"/>
        <v/>
      </c>
      <c r="E408" t="str">
        <f t="shared" si="36"/>
        <v/>
      </c>
    </row>
    <row r="409" spans="4:5" x14ac:dyDescent="0.25">
      <c r="D409" t="str">
        <f t="shared" si="35"/>
        <v/>
      </c>
      <c r="E409" t="str">
        <f t="shared" si="36"/>
        <v/>
      </c>
    </row>
    <row r="410" spans="4:5" x14ac:dyDescent="0.25">
      <c r="D410" t="str">
        <f t="shared" si="35"/>
        <v/>
      </c>
      <c r="E410" t="str">
        <f t="shared" si="36"/>
        <v/>
      </c>
    </row>
    <row r="411" spans="4:5" x14ac:dyDescent="0.25">
      <c r="D411" t="str">
        <f t="shared" si="35"/>
        <v/>
      </c>
      <c r="E411" t="str">
        <f t="shared" si="36"/>
        <v/>
      </c>
    </row>
    <row r="412" spans="4:5" x14ac:dyDescent="0.25">
      <c r="D412" t="str">
        <f t="shared" si="35"/>
        <v/>
      </c>
      <c r="E412" t="str">
        <f t="shared" si="36"/>
        <v/>
      </c>
    </row>
    <row r="413" spans="4:5" x14ac:dyDescent="0.25">
      <c r="D413" t="str">
        <f t="shared" si="35"/>
        <v/>
      </c>
      <c r="E413" t="str">
        <f t="shared" si="36"/>
        <v/>
      </c>
    </row>
    <row r="414" spans="4:5" x14ac:dyDescent="0.25">
      <c r="D414" t="str">
        <f t="shared" si="35"/>
        <v/>
      </c>
      <c r="E414" t="str">
        <f t="shared" si="36"/>
        <v/>
      </c>
    </row>
    <row r="415" spans="4:5" x14ac:dyDescent="0.25">
      <c r="D415" t="str">
        <f t="shared" si="35"/>
        <v/>
      </c>
      <c r="E415" t="str">
        <f t="shared" si="36"/>
        <v/>
      </c>
    </row>
    <row r="416" spans="4:5" x14ac:dyDescent="0.25">
      <c r="D416" t="str">
        <f t="shared" si="35"/>
        <v/>
      </c>
      <c r="E416" t="str">
        <f t="shared" si="36"/>
        <v/>
      </c>
    </row>
    <row r="417" spans="4:5" x14ac:dyDescent="0.25">
      <c r="D417" t="str">
        <f t="shared" si="35"/>
        <v/>
      </c>
      <c r="E417" t="str">
        <f t="shared" si="36"/>
        <v/>
      </c>
    </row>
    <row r="418" spans="4:5" x14ac:dyDescent="0.25">
      <c r="D418" t="str">
        <f t="shared" si="35"/>
        <v/>
      </c>
      <c r="E418" t="str">
        <f t="shared" si="36"/>
        <v/>
      </c>
    </row>
    <row r="419" spans="4:5" x14ac:dyDescent="0.25">
      <c r="D419" t="str">
        <f t="shared" si="35"/>
        <v/>
      </c>
      <c r="E419" t="str">
        <f t="shared" si="36"/>
        <v/>
      </c>
    </row>
    <row r="420" spans="4:5" x14ac:dyDescent="0.25">
      <c r="D420" t="str">
        <f t="shared" si="35"/>
        <v/>
      </c>
      <c r="E420" t="str">
        <f t="shared" si="36"/>
        <v/>
      </c>
    </row>
    <row r="421" spans="4:5" x14ac:dyDescent="0.25">
      <c r="D421" t="str">
        <f t="shared" si="35"/>
        <v/>
      </c>
      <c r="E421" t="str">
        <f t="shared" si="36"/>
        <v/>
      </c>
    </row>
    <row r="422" spans="4:5" x14ac:dyDescent="0.25">
      <c r="D422" t="str">
        <f t="shared" si="35"/>
        <v/>
      </c>
      <c r="E422" t="str">
        <f t="shared" si="36"/>
        <v/>
      </c>
    </row>
    <row r="423" spans="4:5" x14ac:dyDescent="0.25">
      <c r="D423" t="str">
        <f t="shared" si="35"/>
        <v/>
      </c>
      <c r="E423" t="str">
        <f t="shared" si="36"/>
        <v/>
      </c>
    </row>
    <row r="424" spans="4:5" x14ac:dyDescent="0.25">
      <c r="D424" t="str">
        <f t="shared" si="35"/>
        <v/>
      </c>
      <c r="E424" t="str">
        <f t="shared" si="36"/>
        <v/>
      </c>
    </row>
    <row r="425" spans="4:5" x14ac:dyDescent="0.25">
      <c r="D425" t="str">
        <f t="shared" si="35"/>
        <v/>
      </c>
      <c r="E425" t="str">
        <f t="shared" si="36"/>
        <v/>
      </c>
    </row>
    <row r="426" spans="4:5" x14ac:dyDescent="0.25">
      <c r="D426" t="str">
        <f t="shared" si="35"/>
        <v/>
      </c>
      <c r="E426" t="str">
        <f t="shared" si="36"/>
        <v/>
      </c>
    </row>
    <row r="427" spans="4:5" x14ac:dyDescent="0.25">
      <c r="D427" t="str">
        <f t="shared" si="35"/>
        <v/>
      </c>
      <c r="E427" t="str">
        <f t="shared" si="36"/>
        <v/>
      </c>
    </row>
    <row r="428" spans="4:5" x14ac:dyDescent="0.25">
      <c r="D428" t="str">
        <f t="shared" si="35"/>
        <v/>
      </c>
      <c r="E428" t="str">
        <f t="shared" si="36"/>
        <v/>
      </c>
    </row>
    <row r="429" spans="4:5" x14ac:dyDescent="0.25">
      <c r="D429" t="str">
        <f t="shared" si="35"/>
        <v/>
      </c>
      <c r="E429" t="str">
        <f t="shared" si="36"/>
        <v/>
      </c>
    </row>
    <row r="430" spans="4:5" x14ac:dyDescent="0.25">
      <c r="D430" t="str">
        <f t="shared" si="35"/>
        <v/>
      </c>
      <c r="E430" t="str">
        <f t="shared" si="36"/>
        <v/>
      </c>
    </row>
    <row r="431" spans="4:5" x14ac:dyDescent="0.25">
      <c r="D431" t="str">
        <f t="shared" si="35"/>
        <v/>
      </c>
      <c r="E431" t="str">
        <f t="shared" si="36"/>
        <v/>
      </c>
    </row>
    <row r="432" spans="4:5" x14ac:dyDescent="0.25">
      <c r="D432" t="str">
        <f t="shared" si="35"/>
        <v/>
      </c>
      <c r="E432" t="str">
        <f t="shared" si="36"/>
        <v/>
      </c>
    </row>
    <row r="433" spans="4:5" x14ac:dyDescent="0.25">
      <c r="D433" t="str">
        <f t="shared" si="35"/>
        <v/>
      </c>
      <c r="E433" t="str">
        <f t="shared" si="36"/>
        <v/>
      </c>
    </row>
    <row r="434" spans="4:5" x14ac:dyDescent="0.25">
      <c r="D434" t="str">
        <f t="shared" si="35"/>
        <v/>
      </c>
      <c r="E434" t="str">
        <f t="shared" si="36"/>
        <v/>
      </c>
    </row>
    <row r="435" spans="4:5" x14ac:dyDescent="0.25">
      <c r="D435" t="str">
        <f t="shared" si="35"/>
        <v/>
      </c>
      <c r="E435" t="str">
        <f t="shared" si="36"/>
        <v/>
      </c>
    </row>
    <row r="436" spans="4:5" x14ac:dyDescent="0.25">
      <c r="D436" t="str">
        <f t="shared" si="35"/>
        <v/>
      </c>
      <c r="E436" t="str">
        <f t="shared" si="36"/>
        <v/>
      </c>
    </row>
    <row r="437" spans="4:5" x14ac:dyDescent="0.25">
      <c r="D437" t="str">
        <f t="shared" si="35"/>
        <v/>
      </c>
      <c r="E437" t="str">
        <f t="shared" si="36"/>
        <v/>
      </c>
    </row>
    <row r="438" spans="4:5" x14ac:dyDescent="0.25">
      <c r="D438" t="str">
        <f t="shared" si="35"/>
        <v/>
      </c>
      <c r="E438" t="str">
        <f t="shared" si="36"/>
        <v/>
      </c>
    </row>
    <row r="439" spans="4:5" x14ac:dyDescent="0.25">
      <c r="D439" t="str">
        <f t="shared" si="35"/>
        <v/>
      </c>
      <c r="E439" t="str">
        <f t="shared" si="36"/>
        <v/>
      </c>
    </row>
    <row r="440" spans="4:5" x14ac:dyDescent="0.25">
      <c r="D440" t="str">
        <f t="shared" si="35"/>
        <v/>
      </c>
      <c r="E440" t="str">
        <f t="shared" si="36"/>
        <v/>
      </c>
    </row>
    <row r="441" spans="4:5" x14ac:dyDescent="0.25">
      <c r="D441" t="str">
        <f t="shared" si="35"/>
        <v/>
      </c>
      <c r="E441" t="str">
        <f t="shared" si="36"/>
        <v/>
      </c>
    </row>
    <row r="442" spans="4:5" x14ac:dyDescent="0.25">
      <c r="D442" t="str">
        <f t="shared" si="35"/>
        <v/>
      </c>
      <c r="E442" t="str">
        <f t="shared" si="36"/>
        <v/>
      </c>
    </row>
    <row r="443" spans="4:5" x14ac:dyDescent="0.25">
      <c r="D443" t="str">
        <f t="shared" si="35"/>
        <v/>
      </c>
      <c r="E443" t="str">
        <f t="shared" si="36"/>
        <v/>
      </c>
    </row>
    <row r="444" spans="4:5" x14ac:dyDescent="0.25">
      <c r="D444" t="str">
        <f t="shared" si="35"/>
        <v/>
      </c>
      <c r="E444" t="str">
        <f t="shared" si="36"/>
        <v/>
      </c>
    </row>
    <row r="445" spans="4:5" x14ac:dyDescent="0.25">
      <c r="D445" t="str">
        <f t="shared" si="35"/>
        <v/>
      </c>
      <c r="E445" t="str">
        <f t="shared" si="36"/>
        <v/>
      </c>
    </row>
    <row r="446" spans="4:5" x14ac:dyDescent="0.25">
      <c r="D446" t="str">
        <f t="shared" si="35"/>
        <v/>
      </c>
      <c r="E446" t="str">
        <f t="shared" si="36"/>
        <v/>
      </c>
    </row>
    <row r="447" spans="4:5" x14ac:dyDescent="0.25">
      <c r="D447" t="str">
        <f t="shared" si="35"/>
        <v/>
      </c>
      <c r="E447" t="str">
        <f t="shared" si="36"/>
        <v/>
      </c>
    </row>
    <row r="448" spans="4:5" x14ac:dyDescent="0.25">
      <c r="D448" t="str">
        <f t="shared" si="35"/>
        <v/>
      </c>
      <c r="E448" t="str">
        <f t="shared" si="36"/>
        <v/>
      </c>
    </row>
    <row r="449" spans="4:5" x14ac:dyDescent="0.25">
      <c r="D449" t="str">
        <f t="shared" si="35"/>
        <v/>
      </c>
      <c r="E449" t="str">
        <f t="shared" si="36"/>
        <v/>
      </c>
    </row>
    <row r="450" spans="4:5" x14ac:dyDescent="0.25">
      <c r="D450" t="str">
        <f t="shared" si="35"/>
        <v/>
      </c>
      <c r="E450" t="str">
        <f t="shared" si="36"/>
        <v/>
      </c>
    </row>
    <row r="451" spans="4:5" x14ac:dyDescent="0.25">
      <c r="D451" t="str">
        <f t="shared" si="35"/>
        <v/>
      </c>
      <c r="E451" t="str">
        <f t="shared" si="36"/>
        <v/>
      </c>
    </row>
    <row r="452" spans="4:5" x14ac:dyDescent="0.25">
      <c r="D452" t="str">
        <f t="shared" ref="D452:D501" si="37">IF(C452="","",IF(C452="PRODUCTION","Taxable (T)",IF(C452="PÉDAGOGIE","Non Taxable (NT)",IF(C452="FONCTIONNEMENT GÉNÉRAL","Mutualisé (M)","ERREUR"))))</f>
        <v/>
      </c>
      <c r="E452" t="str">
        <f t="shared" si="36"/>
        <v/>
      </c>
    </row>
    <row r="453" spans="4:5" x14ac:dyDescent="0.25">
      <c r="D453" t="str">
        <f t="shared" si="37"/>
        <v/>
      </c>
      <c r="E453" t="str">
        <f t="shared" si="36"/>
        <v/>
      </c>
    </row>
    <row r="454" spans="4:5" x14ac:dyDescent="0.25">
      <c r="D454" t="str">
        <f t="shared" si="37"/>
        <v/>
      </c>
      <c r="E454" t="str">
        <f t="shared" si="36"/>
        <v/>
      </c>
    </row>
    <row r="455" spans="4:5" x14ac:dyDescent="0.25">
      <c r="D455" t="str">
        <f t="shared" si="37"/>
        <v/>
      </c>
      <c r="E455" t="str">
        <f t="shared" si="36"/>
        <v/>
      </c>
    </row>
    <row r="456" spans="4:5" x14ac:dyDescent="0.25">
      <c r="D456" t="str">
        <f t="shared" si="37"/>
        <v/>
      </c>
      <c r="E456" t="str">
        <f t="shared" si="36"/>
        <v/>
      </c>
    </row>
    <row r="457" spans="4:5" x14ac:dyDescent="0.25">
      <c r="D457" t="str">
        <f t="shared" si="37"/>
        <v/>
      </c>
      <c r="E457" t="str">
        <f t="shared" si="36"/>
        <v/>
      </c>
    </row>
    <row r="458" spans="4:5" x14ac:dyDescent="0.25">
      <c r="D458" t="str">
        <f t="shared" si="37"/>
        <v/>
      </c>
      <c r="E458" t="str">
        <f t="shared" si="36"/>
        <v/>
      </c>
    </row>
    <row r="459" spans="4:5" x14ac:dyDescent="0.25">
      <c r="D459" t="str">
        <f t="shared" si="37"/>
        <v/>
      </c>
      <c r="E459" t="str">
        <f t="shared" si="36"/>
        <v/>
      </c>
    </row>
    <row r="460" spans="4:5" x14ac:dyDescent="0.25">
      <c r="D460" t="str">
        <f t="shared" si="37"/>
        <v/>
      </c>
      <c r="E460" t="str">
        <f t="shared" si="36"/>
        <v/>
      </c>
    </row>
    <row r="461" spans="4:5" x14ac:dyDescent="0.25">
      <c r="D461" t="str">
        <f t="shared" si="37"/>
        <v/>
      </c>
      <c r="E461" t="str">
        <f t="shared" si="36"/>
        <v/>
      </c>
    </row>
    <row r="462" spans="4:5" x14ac:dyDescent="0.25">
      <c r="D462" t="str">
        <f t="shared" si="37"/>
        <v/>
      </c>
      <c r="E462" t="str">
        <f t="shared" ref="E462:E501" si="38">IF(C462="","",IF(C462="PRODUCTION","T",IF(C462="PÉDAGOGIE","NT",IF(C462="FONCTIONNEMENT GÉNÉRAL","M","ERREUR"))))</f>
        <v/>
      </c>
    </row>
    <row r="463" spans="4:5" x14ac:dyDescent="0.25">
      <c r="D463" t="str">
        <f t="shared" si="37"/>
        <v/>
      </c>
      <c r="E463" t="str">
        <f t="shared" si="38"/>
        <v/>
      </c>
    </row>
    <row r="464" spans="4:5" x14ac:dyDescent="0.25">
      <c r="D464" t="str">
        <f t="shared" si="37"/>
        <v/>
      </c>
      <c r="E464" t="str">
        <f t="shared" si="38"/>
        <v/>
      </c>
    </row>
    <row r="465" spans="4:5" x14ac:dyDescent="0.25">
      <c r="D465" t="str">
        <f t="shared" si="37"/>
        <v/>
      </c>
      <c r="E465" t="str">
        <f t="shared" si="38"/>
        <v/>
      </c>
    </row>
    <row r="466" spans="4:5" x14ac:dyDescent="0.25">
      <c r="D466" t="str">
        <f t="shared" si="37"/>
        <v/>
      </c>
      <c r="E466" t="str">
        <f t="shared" si="38"/>
        <v/>
      </c>
    </row>
    <row r="467" spans="4:5" x14ac:dyDescent="0.25">
      <c r="D467" t="str">
        <f t="shared" si="37"/>
        <v/>
      </c>
      <c r="E467" t="str">
        <f t="shared" si="38"/>
        <v/>
      </c>
    </row>
    <row r="468" spans="4:5" x14ac:dyDescent="0.25">
      <c r="D468" t="str">
        <f t="shared" si="37"/>
        <v/>
      </c>
      <c r="E468" t="str">
        <f t="shared" si="38"/>
        <v/>
      </c>
    </row>
    <row r="469" spans="4:5" x14ac:dyDescent="0.25">
      <c r="D469" t="str">
        <f t="shared" si="37"/>
        <v/>
      </c>
      <c r="E469" t="str">
        <f t="shared" si="38"/>
        <v/>
      </c>
    </row>
    <row r="470" spans="4:5" x14ac:dyDescent="0.25">
      <c r="D470" t="str">
        <f t="shared" si="37"/>
        <v/>
      </c>
      <c r="E470" t="str">
        <f t="shared" si="38"/>
        <v/>
      </c>
    </row>
    <row r="471" spans="4:5" x14ac:dyDescent="0.25">
      <c r="D471" t="str">
        <f t="shared" si="37"/>
        <v/>
      </c>
      <c r="E471" t="str">
        <f t="shared" si="38"/>
        <v/>
      </c>
    </row>
    <row r="472" spans="4:5" x14ac:dyDescent="0.25">
      <c r="D472" t="str">
        <f t="shared" si="37"/>
        <v/>
      </c>
      <c r="E472" t="str">
        <f t="shared" si="38"/>
        <v/>
      </c>
    </row>
    <row r="473" spans="4:5" x14ac:dyDescent="0.25">
      <c r="D473" t="str">
        <f t="shared" si="37"/>
        <v/>
      </c>
      <c r="E473" t="str">
        <f t="shared" si="38"/>
        <v/>
      </c>
    </row>
    <row r="474" spans="4:5" x14ac:dyDescent="0.25">
      <c r="D474" t="str">
        <f t="shared" si="37"/>
        <v/>
      </c>
      <c r="E474" t="str">
        <f t="shared" si="38"/>
        <v/>
      </c>
    </row>
    <row r="475" spans="4:5" x14ac:dyDescent="0.25">
      <c r="D475" t="str">
        <f t="shared" si="37"/>
        <v/>
      </c>
      <c r="E475" t="str">
        <f t="shared" si="38"/>
        <v/>
      </c>
    </row>
    <row r="476" spans="4:5" x14ac:dyDescent="0.25">
      <c r="D476" t="str">
        <f t="shared" si="37"/>
        <v/>
      </c>
      <c r="E476" t="str">
        <f t="shared" si="38"/>
        <v/>
      </c>
    </row>
    <row r="477" spans="4:5" x14ac:dyDescent="0.25">
      <c r="D477" t="str">
        <f t="shared" si="37"/>
        <v/>
      </c>
      <c r="E477" t="str">
        <f t="shared" si="38"/>
        <v/>
      </c>
    </row>
    <row r="478" spans="4:5" x14ac:dyDescent="0.25">
      <c r="D478" t="str">
        <f t="shared" si="37"/>
        <v/>
      </c>
      <c r="E478" t="str">
        <f t="shared" si="38"/>
        <v/>
      </c>
    </row>
    <row r="479" spans="4:5" x14ac:dyDescent="0.25">
      <c r="D479" t="str">
        <f t="shared" si="37"/>
        <v/>
      </c>
      <c r="E479" t="str">
        <f t="shared" si="38"/>
        <v/>
      </c>
    </row>
    <row r="480" spans="4:5" x14ac:dyDescent="0.25">
      <c r="D480" t="str">
        <f t="shared" si="37"/>
        <v/>
      </c>
      <c r="E480" t="str">
        <f t="shared" si="38"/>
        <v/>
      </c>
    </row>
    <row r="481" spans="4:5" x14ac:dyDescent="0.25">
      <c r="D481" t="str">
        <f t="shared" si="37"/>
        <v/>
      </c>
      <c r="E481" t="str">
        <f t="shared" si="38"/>
        <v/>
      </c>
    </row>
    <row r="482" spans="4:5" x14ac:dyDescent="0.25">
      <c r="D482" t="str">
        <f t="shared" si="37"/>
        <v/>
      </c>
      <c r="E482" t="str">
        <f t="shared" si="38"/>
        <v/>
      </c>
    </row>
    <row r="483" spans="4:5" x14ac:dyDescent="0.25">
      <c r="D483" t="str">
        <f t="shared" si="37"/>
        <v/>
      </c>
      <c r="E483" t="str">
        <f t="shared" si="38"/>
        <v/>
      </c>
    </row>
    <row r="484" spans="4:5" x14ac:dyDescent="0.25">
      <c r="D484" t="str">
        <f t="shared" si="37"/>
        <v/>
      </c>
      <c r="E484" t="str">
        <f t="shared" si="38"/>
        <v/>
      </c>
    </row>
    <row r="485" spans="4:5" x14ac:dyDescent="0.25">
      <c r="D485" t="str">
        <f t="shared" si="37"/>
        <v/>
      </c>
      <c r="E485" t="str">
        <f t="shared" si="38"/>
        <v/>
      </c>
    </row>
    <row r="486" spans="4:5" x14ac:dyDescent="0.25">
      <c r="D486" t="str">
        <f t="shared" si="37"/>
        <v/>
      </c>
      <c r="E486" t="str">
        <f t="shared" si="38"/>
        <v/>
      </c>
    </row>
    <row r="487" spans="4:5" x14ac:dyDescent="0.25">
      <c r="D487" t="str">
        <f t="shared" si="37"/>
        <v/>
      </c>
      <c r="E487" t="str">
        <f t="shared" si="38"/>
        <v/>
      </c>
    </row>
    <row r="488" spans="4:5" x14ac:dyDescent="0.25">
      <c r="D488" t="str">
        <f t="shared" si="37"/>
        <v/>
      </c>
      <c r="E488" t="str">
        <f t="shared" si="38"/>
        <v/>
      </c>
    </row>
    <row r="489" spans="4:5" x14ac:dyDescent="0.25">
      <c r="D489" t="str">
        <f t="shared" si="37"/>
        <v/>
      </c>
      <c r="E489" t="str">
        <f t="shared" si="38"/>
        <v/>
      </c>
    </row>
    <row r="490" spans="4:5" x14ac:dyDescent="0.25">
      <c r="D490" t="str">
        <f t="shared" si="37"/>
        <v/>
      </c>
      <c r="E490" t="str">
        <f t="shared" si="38"/>
        <v/>
      </c>
    </row>
    <row r="491" spans="4:5" x14ac:dyDescent="0.25">
      <c r="D491" t="str">
        <f t="shared" si="37"/>
        <v/>
      </c>
      <c r="E491" t="str">
        <f t="shared" si="38"/>
        <v/>
      </c>
    </row>
    <row r="492" spans="4:5" x14ac:dyDescent="0.25">
      <c r="D492" t="str">
        <f t="shared" si="37"/>
        <v/>
      </c>
      <c r="E492" t="str">
        <f t="shared" si="38"/>
        <v/>
      </c>
    </row>
    <row r="493" spans="4:5" x14ac:dyDescent="0.25">
      <c r="D493" t="str">
        <f t="shared" si="37"/>
        <v/>
      </c>
      <c r="E493" t="str">
        <f t="shared" si="38"/>
        <v/>
      </c>
    </row>
    <row r="494" spans="4:5" x14ac:dyDescent="0.25">
      <c r="D494" t="str">
        <f t="shared" si="37"/>
        <v/>
      </c>
      <c r="E494" t="str">
        <f t="shared" si="38"/>
        <v/>
      </c>
    </row>
    <row r="495" spans="4:5" x14ac:dyDescent="0.25">
      <c r="D495" t="str">
        <f t="shared" si="37"/>
        <v/>
      </c>
      <c r="E495" t="str">
        <f t="shared" si="38"/>
        <v/>
      </c>
    </row>
    <row r="496" spans="4:5" x14ac:dyDescent="0.25">
      <c r="D496" t="str">
        <f t="shared" si="37"/>
        <v/>
      </c>
      <c r="E496" t="str">
        <f t="shared" si="38"/>
        <v/>
      </c>
    </row>
    <row r="497" spans="4:5" x14ac:dyDescent="0.25">
      <c r="D497" t="str">
        <f t="shared" si="37"/>
        <v/>
      </c>
      <c r="E497" t="str">
        <f t="shared" si="38"/>
        <v/>
      </c>
    </row>
    <row r="498" spans="4:5" x14ac:dyDescent="0.25">
      <c r="D498" t="str">
        <f t="shared" si="37"/>
        <v/>
      </c>
      <c r="E498" t="str">
        <f t="shared" si="38"/>
        <v/>
      </c>
    </row>
    <row r="499" spans="4:5" x14ac:dyDescent="0.25">
      <c r="D499" t="str">
        <f t="shared" si="37"/>
        <v/>
      </c>
      <c r="E499" t="str">
        <f t="shared" si="38"/>
        <v/>
      </c>
    </row>
    <row r="500" spans="4:5" x14ac:dyDescent="0.25">
      <c r="D500" t="str">
        <f t="shared" si="37"/>
        <v/>
      </c>
      <c r="E500" t="str">
        <f t="shared" si="38"/>
        <v/>
      </c>
    </row>
    <row r="501" spans="4:5" x14ac:dyDescent="0.25">
      <c r="D501" t="str">
        <f t="shared" si="37"/>
        <v/>
      </c>
      <c r="E501" t="str">
        <f t="shared" si="38"/>
        <v/>
      </c>
    </row>
  </sheetData>
  <sheetProtection sheet="1" objects="1" scenarios="1" formatCells="0"/>
  <mergeCells count="1">
    <mergeCell ref="A1:E1"/>
  </mergeCells>
  <dataValidations count="2">
    <dataValidation type="list" allowBlank="1" showInputMessage="1" showErrorMessage="1" sqref="C3:C501" xr:uid="{E9638EA9-4C69-4366-B3A8-B917FEA9611D}">
      <formula1>$C$3:$C$493</formula1>
    </dataValidation>
    <dataValidation type="whole" errorStyle="warning" allowBlank="1" showInputMessage="1" showErrorMessage="1" errorTitle="Attention" error="Merci de saisir des chiffres." sqref="A3:A97" xr:uid="{9E720D4F-0FD5-467B-85B9-ED8657CC36ED}">
      <formula1>1</formula1>
      <formula2>9999999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1282-7F02-4110-B119-E61B5A8EE563}">
  <sheetPr codeName="Feuil3">
    <tabColor rgb="FFFFD700"/>
  </sheetPr>
  <dimension ref="A1:E502"/>
  <sheetViews>
    <sheetView showGridLines="0" workbookViewId="0">
      <pane ySplit="3" topLeftCell="A4" activePane="bottomLeft" state="frozen"/>
      <selection pane="bottomLeft" activeCell="A500" sqref="A4:A500"/>
    </sheetView>
  </sheetViews>
  <sheetFormatPr baseColWidth="10" defaultColWidth="9.140625" defaultRowHeight="20.25" customHeight="1" x14ac:dyDescent="0.25"/>
  <cols>
    <col min="1" max="1" width="10.140625" customWidth="1"/>
    <col min="2" max="2" width="73.140625" customWidth="1"/>
    <col min="3" max="3" width="26.85546875" bestFit="1" customWidth="1"/>
    <col min="4" max="4" width="19.140625" customWidth="1"/>
    <col min="5" max="5" width="20.140625" customWidth="1"/>
  </cols>
  <sheetData>
    <row r="1" spans="1:5" ht="57" customHeight="1" x14ac:dyDescent="0.25">
      <c r="A1" s="57" t="s">
        <v>153</v>
      </c>
      <c r="B1" s="57"/>
      <c r="C1" s="57"/>
      <c r="D1" s="57"/>
      <c r="E1" s="57"/>
    </row>
    <row r="2" spans="1:5" ht="20.25" customHeight="1" x14ac:dyDescent="0.25">
      <c r="A2" t="s">
        <v>154</v>
      </c>
    </row>
    <row r="3" spans="1:5" ht="37.5" customHeight="1" x14ac:dyDescent="0.25">
      <c r="A3" s="5" t="s">
        <v>47</v>
      </c>
      <c r="B3" s="5" t="s">
        <v>48</v>
      </c>
      <c r="C3" s="5" t="s">
        <v>49</v>
      </c>
      <c r="D3" s="5" t="s">
        <v>50</v>
      </c>
      <c r="E3" s="5" t="s">
        <v>51</v>
      </c>
    </row>
    <row r="4" spans="1:5" ht="20.25" customHeight="1" x14ac:dyDescent="0.25">
      <c r="A4" s="27"/>
      <c r="B4" s="27"/>
      <c r="C4" s="27"/>
      <c r="D4" s="6" t="str">
        <f>IF(C4="","",IF(C4="PRODUCTION","Taxable (T)",IF(C4="PÉDAGOGIE","Non Taxable (NT)",IF(C4="FONCTIONNEMENT GÉNÉRAL","Mutualisé (M)","ERREUR"))))</f>
        <v/>
      </c>
      <c r="E4" s="6" t="str">
        <f>IF(C4="","",IF(C4="PRODUCTION","T",IF(C4="PÉDAGOGIE","NT",IF(C4="FONCTIONNEMENT GÉNÉRAL","M","ERREUR"))))</f>
        <v/>
      </c>
    </row>
    <row r="5" spans="1:5" ht="20.25" customHeight="1" x14ac:dyDescent="0.25">
      <c r="A5" s="27"/>
      <c r="B5" s="27"/>
      <c r="C5" s="27"/>
      <c r="D5" s="6" t="str">
        <f t="shared" ref="D5:D68" si="0">IF(C5="","",IF(C5="PRODUCTION","Taxable (T)",IF(C5="PÉDAGOGIE","Non Taxable (NT)",IF(C5="FONCTIONNEMENT GÉNÉRAL","Mutualisé (M)","ERREUR"))))</f>
        <v/>
      </c>
      <c r="E5" s="6" t="str">
        <f t="shared" ref="E5:E68" si="1">IF(C5="","",IF(C5="PRODUCTION","T",IF(C5="PÉDAGOGIE","NT",IF(C5="FONCTIONNEMENT GÉNÉRAL","M","ERREUR"))))</f>
        <v/>
      </c>
    </row>
    <row r="6" spans="1:5" ht="20.25" customHeight="1" x14ac:dyDescent="0.25">
      <c r="A6" s="27"/>
      <c r="B6" s="27"/>
      <c r="C6" s="27"/>
      <c r="D6" s="6" t="str">
        <f t="shared" si="0"/>
        <v/>
      </c>
      <c r="E6" s="6" t="str">
        <f t="shared" si="1"/>
        <v/>
      </c>
    </row>
    <row r="7" spans="1:5" ht="20.25" customHeight="1" x14ac:dyDescent="0.25">
      <c r="A7" s="27"/>
      <c r="B7" s="27"/>
      <c r="C7" s="27"/>
      <c r="D7" s="6" t="str">
        <f t="shared" si="0"/>
        <v/>
      </c>
      <c r="E7" s="6" t="str">
        <f t="shared" si="1"/>
        <v/>
      </c>
    </row>
    <row r="8" spans="1:5" ht="20.25" customHeight="1" x14ac:dyDescent="0.25">
      <c r="A8" s="27"/>
      <c r="B8" s="27"/>
      <c r="C8" s="27"/>
      <c r="D8" s="6" t="str">
        <f t="shared" si="0"/>
        <v/>
      </c>
      <c r="E8" s="6" t="str">
        <f t="shared" si="1"/>
        <v/>
      </c>
    </row>
    <row r="9" spans="1:5" ht="20.25" customHeight="1" x14ac:dyDescent="0.25">
      <c r="A9" s="27"/>
      <c r="B9" s="27"/>
      <c r="C9" s="27"/>
      <c r="D9" s="6" t="str">
        <f t="shared" si="0"/>
        <v/>
      </c>
      <c r="E9" s="6" t="str">
        <f t="shared" si="1"/>
        <v/>
      </c>
    </row>
    <row r="10" spans="1:5" ht="20.25" customHeight="1" x14ac:dyDescent="0.25">
      <c r="A10" s="27"/>
      <c r="B10" s="27"/>
      <c r="C10" s="27"/>
      <c r="D10" s="6" t="str">
        <f t="shared" si="0"/>
        <v/>
      </c>
      <c r="E10" s="6" t="str">
        <f t="shared" si="1"/>
        <v/>
      </c>
    </row>
    <row r="11" spans="1:5" ht="20.25" customHeight="1" x14ac:dyDescent="0.25">
      <c r="A11" s="27"/>
      <c r="B11" s="27"/>
      <c r="C11" s="27"/>
      <c r="D11" s="6" t="str">
        <f t="shared" si="0"/>
        <v/>
      </c>
      <c r="E11" s="6" t="str">
        <f t="shared" si="1"/>
        <v/>
      </c>
    </row>
    <row r="12" spans="1:5" ht="20.25" customHeight="1" x14ac:dyDescent="0.25">
      <c r="A12" s="27"/>
      <c r="B12" s="27"/>
      <c r="C12" s="27"/>
      <c r="D12" s="6" t="str">
        <f t="shared" si="0"/>
        <v/>
      </c>
      <c r="E12" s="6" t="str">
        <f t="shared" si="1"/>
        <v/>
      </c>
    </row>
    <row r="13" spans="1:5" ht="20.25" customHeight="1" x14ac:dyDescent="0.25">
      <c r="A13" s="27"/>
      <c r="B13" s="27"/>
      <c r="C13" s="27"/>
      <c r="D13" s="6" t="str">
        <f t="shared" si="0"/>
        <v/>
      </c>
      <c r="E13" s="6" t="str">
        <f t="shared" si="1"/>
        <v/>
      </c>
    </row>
    <row r="14" spans="1:5" ht="20.25" customHeight="1" x14ac:dyDescent="0.25">
      <c r="A14" s="27"/>
      <c r="B14" s="27"/>
      <c r="C14" s="27"/>
      <c r="D14" s="6" t="str">
        <f t="shared" si="0"/>
        <v/>
      </c>
      <c r="E14" s="6" t="str">
        <f t="shared" si="1"/>
        <v/>
      </c>
    </row>
    <row r="15" spans="1:5" ht="20.25" customHeight="1" x14ac:dyDescent="0.25">
      <c r="A15" s="27"/>
      <c r="B15" s="27"/>
      <c r="C15" s="27"/>
      <c r="D15" s="6" t="str">
        <f t="shared" si="0"/>
        <v/>
      </c>
      <c r="E15" s="6" t="str">
        <f t="shared" si="1"/>
        <v/>
      </c>
    </row>
    <row r="16" spans="1:5" ht="20.25" customHeight="1" x14ac:dyDescent="0.25">
      <c r="A16" s="27"/>
      <c r="B16" s="27"/>
      <c r="C16" s="27"/>
      <c r="D16" s="6" t="str">
        <f t="shared" si="0"/>
        <v/>
      </c>
      <c r="E16" s="6" t="str">
        <f t="shared" si="1"/>
        <v/>
      </c>
    </row>
    <row r="17" spans="1:5" ht="20.25" customHeight="1" x14ac:dyDescent="0.25">
      <c r="A17" s="27"/>
      <c r="B17" s="27"/>
      <c r="C17" s="27"/>
      <c r="D17" s="6" t="str">
        <f t="shared" si="0"/>
        <v/>
      </c>
      <c r="E17" s="6" t="str">
        <f t="shared" si="1"/>
        <v/>
      </c>
    </row>
    <row r="18" spans="1:5" ht="20.25" customHeight="1" x14ac:dyDescent="0.25">
      <c r="A18" s="27"/>
      <c r="B18" s="27"/>
      <c r="C18" s="27"/>
      <c r="D18" s="6" t="str">
        <f t="shared" si="0"/>
        <v/>
      </c>
      <c r="E18" s="6" t="str">
        <f t="shared" si="1"/>
        <v/>
      </c>
    </row>
    <row r="19" spans="1:5" ht="20.25" customHeight="1" x14ac:dyDescent="0.25">
      <c r="A19" s="27"/>
      <c r="B19" s="27"/>
      <c r="C19" s="27"/>
      <c r="D19" s="6" t="str">
        <f t="shared" si="0"/>
        <v/>
      </c>
      <c r="E19" s="6" t="str">
        <f t="shared" si="1"/>
        <v/>
      </c>
    </row>
    <row r="20" spans="1:5" ht="20.25" customHeight="1" x14ac:dyDescent="0.25">
      <c r="A20" s="27"/>
      <c r="B20" s="27"/>
      <c r="C20" s="27"/>
      <c r="D20" s="6" t="str">
        <f t="shared" si="0"/>
        <v/>
      </c>
      <c r="E20" s="6" t="str">
        <f t="shared" si="1"/>
        <v/>
      </c>
    </row>
    <row r="21" spans="1:5" ht="20.25" customHeight="1" x14ac:dyDescent="0.25">
      <c r="A21" s="27"/>
      <c r="B21" s="27"/>
      <c r="C21" s="27"/>
      <c r="D21" s="6" t="str">
        <f t="shared" si="0"/>
        <v/>
      </c>
      <c r="E21" s="6" t="str">
        <f t="shared" si="1"/>
        <v/>
      </c>
    </row>
    <row r="22" spans="1:5" ht="20.25" customHeight="1" x14ac:dyDescent="0.25">
      <c r="A22" s="27"/>
      <c r="B22" s="27"/>
      <c r="C22" s="27"/>
      <c r="D22" s="6" t="str">
        <f t="shared" si="0"/>
        <v/>
      </c>
      <c r="E22" s="6" t="str">
        <f t="shared" si="1"/>
        <v/>
      </c>
    </row>
    <row r="23" spans="1:5" ht="20.25" customHeight="1" x14ac:dyDescent="0.25">
      <c r="A23" s="27"/>
      <c r="B23" s="27"/>
      <c r="C23" s="27"/>
      <c r="D23" s="6" t="str">
        <f t="shared" si="0"/>
        <v/>
      </c>
      <c r="E23" s="6" t="str">
        <f t="shared" si="1"/>
        <v/>
      </c>
    </row>
    <row r="24" spans="1:5" ht="20.25" customHeight="1" x14ac:dyDescent="0.25">
      <c r="A24" s="27"/>
      <c r="B24" s="27"/>
      <c r="C24" s="27"/>
      <c r="D24" s="6" t="str">
        <f t="shared" si="0"/>
        <v/>
      </c>
      <c r="E24" s="6" t="str">
        <f t="shared" si="1"/>
        <v/>
      </c>
    </row>
    <row r="25" spans="1:5" ht="20.25" customHeight="1" x14ac:dyDescent="0.25">
      <c r="A25" s="27"/>
      <c r="B25" s="27"/>
      <c r="C25" s="27"/>
      <c r="D25" s="6" t="str">
        <f t="shared" si="0"/>
        <v/>
      </c>
      <c r="E25" s="6" t="str">
        <f t="shared" si="1"/>
        <v/>
      </c>
    </row>
    <row r="26" spans="1:5" ht="20.25" customHeight="1" x14ac:dyDescent="0.25">
      <c r="A26" s="27"/>
      <c r="B26" s="27"/>
      <c r="C26" s="27"/>
      <c r="D26" s="6" t="str">
        <f t="shared" si="0"/>
        <v/>
      </c>
      <c r="E26" s="6" t="str">
        <f t="shared" si="1"/>
        <v/>
      </c>
    </row>
    <row r="27" spans="1:5" ht="20.25" customHeight="1" x14ac:dyDescent="0.25">
      <c r="A27" s="27"/>
      <c r="B27" s="27"/>
      <c r="C27" s="27"/>
      <c r="D27" s="6" t="str">
        <f t="shared" si="0"/>
        <v/>
      </c>
      <c r="E27" s="6" t="str">
        <f t="shared" si="1"/>
        <v/>
      </c>
    </row>
    <row r="28" spans="1:5" ht="20.25" customHeight="1" x14ac:dyDescent="0.25">
      <c r="A28" s="27"/>
      <c r="B28" s="27"/>
      <c r="C28" s="27"/>
      <c r="D28" s="6" t="str">
        <f t="shared" si="0"/>
        <v/>
      </c>
      <c r="E28" s="6" t="str">
        <f t="shared" si="1"/>
        <v/>
      </c>
    </row>
    <row r="29" spans="1:5" ht="20.25" customHeight="1" x14ac:dyDescent="0.25">
      <c r="A29" s="27"/>
      <c r="B29" s="27"/>
      <c r="C29" s="27"/>
      <c r="D29" s="6" t="str">
        <f t="shared" si="0"/>
        <v/>
      </c>
      <c r="E29" s="6" t="str">
        <f t="shared" si="1"/>
        <v/>
      </c>
    </row>
    <row r="30" spans="1:5" ht="20.25" customHeight="1" x14ac:dyDescent="0.25">
      <c r="A30" s="27"/>
      <c r="B30" s="27"/>
      <c r="C30" s="27"/>
      <c r="D30" s="6" t="str">
        <f t="shared" si="0"/>
        <v/>
      </c>
      <c r="E30" s="6" t="str">
        <f t="shared" si="1"/>
        <v/>
      </c>
    </row>
    <row r="31" spans="1:5" ht="20.25" customHeight="1" x14ac:dyDescent="0.25">
      <c r="A31" s="27"/>
      <c r="B31" s="27"/>
      <c r="C31" s="27"/>
      <c r="D31" s="6" t="str">
        <f t="shared" si="0"/>
        <v/>
      </c>
      <c r="E31" s="6" t="str">
        <f t="shared" si="1"/>
        <v/>
      </c>
    </row>
    <row r="32" spans="1:5" ht="20.25" customHeight="1" x14ac:dyDescent="0.25">
      <c r="A32" s="27"/>
      <c r="B32" s="27"/>
      <c r="C32" s="27"/>
      <c r="D32" s="6" t="str">
        <f t="shared" si="0"/>
        <v/>
      </c>
      <c r="E32" s="6" t="str">
        <f t="shared" si="1"/>
        <v/>
      </c>
    </row>
    <row r="33" spans="1:5" ht="20.25" customHeight="1" x14ac:dyDescent="0.25">
      <c r="A33" s="27"/>
      <c r="B33" s="27"/>
      <c r="C33" s="27"/>
      <c r="D33" s="6" t="str">
        <f t="shared" si="0"/>
        <v/>
      </c>
      <c r="E33" s="6" t="str">
        <f t="shared" si="1"/>
        <v/>
      </c>
    </row>
    <row r="34" spans="1:5" ht="20.25" customHeight="1" x14ac:dyDescent="0.25">
      <c r="A34" s="27"/>
      <c r="B34" s="27"/>
      <c r="C34" s="27"/>
      <c r="D34" s="6" t="str">
        <f t="shared" si="0"/>
        <v/>
      </c>
      <c r="E34" s="6" t="str">
        <f t="shared" si="1"/>
        <v/>
      </c>
    </row>
    <row r="35" spans="1:5" ht="20.25" customHeight="1" x14ac:dyDescent="0.25">
      <c r="A35" s="27"/>
      <c r="B35" s="27"/>
      <c r="C35" s="27"/>
      <c r="D35" s="6" t="str">
        <f t="shared" si="0"/>
        <v/>
      </c>
      <c r="E35" s="6" t="str">
        <f t="shared" si="1"/>
        <v/>
      </c>
    </row>
    <row r="36" spans="1:5" ht="20.25" customHeight="1" x14ac:dyDescent="0.25">
      <c r="A36" s="27"/>
      <c r="B36" s="27"/>
      <c r="C36" s="27"/>
      <c r="D36" s="6" t="str">
        <f t="shared" si="0"/>
        <v/>
      </c>
      <c r="E36" s="6" t="str">
        <f t="shared" si="1"/>
        <v/>
      </c>
    </row>
    <row r="37" spans="1:5" ht="20.25" customHeight="1" x14ac:dyDescent="0.25">
      <c r="A37" s="27"/>
      <c r="B37" s="27"/>
      <c r="C37" s="27"/>
      <c r="D37" s="6" t="str">
        <f t="shared" si="0"/>
        <v/>
      </c>
      <c r="E37" s="6" t="str">
        <f t="shared" si="1"/>
        <v/>
      </c>
    </row>
    <row r="38" spans="1:5" ht="20.25" customHeight="1" x14ac:dyDescent="0.25">
      <c r="A38" s="27"/>
      <c r="B38" s="27"/>
      <c r="C38" s="27"/>
      <c r="D38" s="6" t="str">
        <f t="shared" si="0"/>
        <v/>
      </c>
      <c r="E38" s="6" t="str">
        <f t="shared" si="1"/>
        <v/>
      </c>
    </row>
    <row r="39" spans="1:5" ht="20.25" customHeight="1" x14ac:dyDescent="0.25">
      <c r="A39" s="27"/>
      <c r="B39" s="27"/>
      <c r="C39" s="27"/>
      <c r="D39" s="6" t="str">
        <f t="shared" si="0"/>
        <v/>
      </c>
      <c r="E39" s="6" t="str">
        <f t="shared" si="1"/>
        <v/>
      </c>
    </row>
    <row r="40" spans="1:5" ht="20.25" customHeight="1" x14ac:dyDescent="0.25">
      <c r="A40" s="27"/>
      <c r="B40" s="27"/>
      <c r="C40" s="27"/>
      <c r="D40" s="6" t="str">
        <f t="shared" si="0"/>
        <v/>
      </c>
      <c r="E40" s="6" t="str">
        <f t="shared" si="1"/>
        <v/>
      </c>
    </row>
    <row r="41" spans="1:5" ht="20.25" customHeight="1" x14ac:dyDescent="0.25">
      <c r="A41" s="27"/>
      <c r="B41" s="27"/>
      <c r="C41" s="27"/>
      <c r="D41" s="6" t="str">
        <f t="shared" si="0"/>
        <v/>
      </c>
      <c r="E41" s="6" t="str">
        <f t="shared" si="1"/>
        <v/>
      </c>
    </row>
    <row r="42" spans="1:5" ht="20.25" customHeight="1" x14ac:dyDescent="0.25">
      <c r="A42" s="27"/>
      <c r="B42" s="27"/>
      <c r="C42" s="27"/>
      <c r="D42" s="6" t="str">
        <f t="shared" si="0"/>
        <v/>
      </c>
      <c r="E42" s="6" t="str">
        <f t="shared" si="1"/>
        <v/>
      </c>
    </row>
    <row r="43" spans="1:5" ht="20.25" customHeight="1" x14ac:dyDescent="0.25">
      <c r="A43" s="27"/>
      <c r="B43" s="27"/>
      <c r="C43" s="27"/>
      <c r="D43" s="6" t="str">
        <f t="shared" si="0"/>
        <v/>
      </c>
      <c r="E43" s="6" t="str">
        <f t="shared" si="1"/>
        <v/>
      </c>
    </row>
    <row r="44" spans="1:5" ht="20.25" customHeight="1" x14ac:dyDescent="0.25">
      <c r="A44" s="27"/>
      <c r="B44" s="27"/>
      <c r="C44" s="27"/>
      <c r="D44" s="6" t="str">
        <f t="shared" si="0"/>
        <v/>
      </c>
      <c r="E44" s="6" t="str">
        <f t="shared" si="1"/>
        <v/>
      </c>
    </row>
    <row r="45" spans="1:5" ht="20.25" customHeight="1" x14ac:dyDescent="0.25">
      <c r="A45" s="27"/>
      <c r="B45" s="27"/>
      <c r="C45" s="27"/>
      <c r="D45" s="6" t="str">
        <f t="shared" si="0"/>
        <v/>
      </c>
      <c r="E45" s="6" t="str">
        <f t="shared" si="1"/>
        <v/>
      </c>
    </row>
    <row r="46" spans="1:5" ht="20.25" customHeight="1" x14ac:dyDescent="0.25">
      <c r="A46" s="27"/>
      <c r="B46" s="27"/>
      <c r="C46" s="27"/>
      <c r="D46" s="6" t="str">
        <f t="shared" si="0"/>
        <v/>
      </c>
      <c r="E46" s="6" t="str">
        <f t="shared" si="1"/>
        <v/>
      </c>
    </row>
    <row r="47" spans="1:5" ht="20.25" customHeight="1" x14ac:dyDescent="0.25">
      <c r="A47" s="27"/>
      <c r="B47" s="27"/>
      <c r="C47" s="27"/>
      <c r="D47" s="6" t="str">
        <f t="shared" si="0"/>
        <v/>
      </c>
      <c r="E47" s="6" t="str">
        <f t="shared" si="1"/>
        <v/>
      </c>
    </row>
    <row r="48" spans="1:5" ht="20.25" customHeight="1" x14ac:dyDescent="0.25">
      <c r="A48" s="27"/>
      <c r="B48" s="27"/>
      <c r="C48" s="27"/>
      <c r="D48" s="6" t="str">
        <f t="shared" si="0"/>
        <v/>
      </c>
      <c r="E48" s="6" t="str">
        <f t="shared" si="1"/>
        <v/>
      </c>
    </row>
    <row r="49" spans="1:5" ht="20.25" customHeight="1" x14ac:dyDescent="0.25">
      <c r="A49" s="27"/>
      <c r="B49" s="27"/>
      <c r="C49" s="27"/>
      <c r="D49" s="6" t="str">
        <f t="shared" si="0"/>
        <v/>
      </c>
      <c r="E49" s="6" t="str">
        <f t="shared" si="1"/>
        <v/>
      </c>
    </row>
    <row r="50" spans="1:5" ht="20.25" customHeight="1" x14ac:dyDescent="0.25">
      <c r="A50" s="27"/>
      <c r="B50" s="27"/>
      <c r="C50" s="27"/>
      <c r="D50" s="6" t="str">
        <f t="shared" si="0"/>
        <v/>
      </c>
      <c r="E50" s="6" t="str">
        <f t="shared" si="1"/>
        <v/>
      </c>
    </row>
    <row r="51" spans="1:5" ht="20.25" customHeight="1" x14ac:dyDescent="0.25">
      <c r="A51" s="27"/>
      <c r="B51" s="27"/>
      <c r="C51" s="27"/>
      <c r="D51" s="6" t="str">
        <f t="shared" si="0"/>
        <v/>
      </c>
      <c r="E51" s="6" t="str">
        <f t="shared" si="1"/>
        <v/>
      </c>
    </row>
    <row r="52" spans="1:5" ht="20.25" customHeight="1" x14ac:dyDescent="0.25">
      <c r="A52" s="27"/>
      <c r="B52" s="27"/>
      <c r="C52" s="27"/>
      <c r="D52" s="6" t="str">
        <f t="shared" si="0"/>
        <v/>
      </c>
      <c r="E52" s="6" t="str">
        <f t="shared" si="1"/>
        <v/>
      </c>
    </row>
    <row r="53" spans="1:5" ht="20.25" customHeight="1" x14ac:dyDescent="0.25">
      <c r="A53" s="27"/>
      <c r="B53" s="27"/>
      <c r="C53" s="27"/>
      <c r="D53" s="6" t="str">
        <f t="shared" si="0"/>
        <v/>
      </c>
      <c r="E53" s="6" t="str">
        <f t="shared" si="1"/>
        <v/>
      </c>
    </row>
    <row r="54" spans="1:5" ht="20.25" customHeight="1" x14ac:dyDescent="0.25">
      <c r="A54" s="27"/>
      <c r="B54" s="27"/>
      <c r="C54" s="27"/>
      <c r="D54" s="6" t="str">
        <f t="shared" si="0"/>
        <v/>
      </c>
      <c r="E54" s="6" t="str">
        <f t="shared" si="1"/>
        <v/>
      </c>
    </row>
    <row r="55" spans="1:5" ht="20.25" customHeight="1" x14ac:dyDescent="0.25">
      <c r="A55" s="27"/>
      <c r="B55" s="27"/>
      <c r="C55" s="27"/>
      <c r="D55" s="6" t="str">
        <f t="shared" si="0"/>
        <v/>
      </c>
      <c r="E55" s="6" t="str">
        <f t="shared" si="1"/>
        <v/>
      </c>
    </row>
    <row r="56" spans="1:5" ht="20.25" customHeight="1" x14ac:dyDescent="0.25">
      <c r="A56" s="27"/>
      <c r="B56" s="27"/>
      <c r="C56" s="27"/>
      <c r="D56" s="6" t="str">
        <f t="shared" si="0"/>
        <v/>
      </c>
      <c r="E56" s="6" t="str">
        <f t="shared" si="1"/>
        <v/>
      </c>
    </row>
    <row r="57" spans="1:5" ht="20.25" customHeight="1" x14ac:dyDescent="0.25">
      <c r="A57" s="27"/>
      <c r="B57" s="27"/>
      <c r="C57" s="27"/>
      <c r="D57" s="6" t="str">
        <f t="shared" si="0"/>
        <v/>
      </c>
      <c r="E57" s="6" t="str">
        <f t="shared" si="1"/>
        <v/>
      </c>
    </row>
    <row r="58" spans="1:5" ht="20.25" customHeight="1" x14ac:dyDescent="0.25">
      <c r="A58" s="27"/>
      <c r="B58" s="27"/>
      <c r="C58" s="27"/>
      <c r="D58" s="6" t="str">
        <f t="shared" si="0"/>
        <v/>
      </c>
      <c r="E58" s="6" t="str">
        <f t="shared" si="1"/>
        <v/>
      </c>
    </row>
    <row r="59" spans="1:5" ht="20.25" customHeight="1" x14ac:dyDescent="0.25">
      <c r="A59" s="27"/>
      <c r="B59" s="27"/>
      <c r="C59" s="27"/>
      <c r="D59" s="6" t="str">
        <f t="shared" si="0"/>
        <v/>
      </c>
      <c r="E59" s="6" t="str">
        <f t="shared" si="1"/>
        <v/>
      </c>
    </row>
    <row r="60" spans="1:5" ht="20.25" customHeight="1" x14ac:dyDescent="0.25">
      <c r="A60" s="27"/>
      <c r="B60" s="27"/>
      <c r="C60" s="27"/>
      <c r="D60" s="6" t="str">
        <f t="shared" si="0"/>
        <v/>
      </c>
      <c r="E60" s="6" t="str">
        <f t="shared" si="1"/>
        <v/>
      </c>
    </row>
    <row r="61" spans="1:5" ht="20.25" customHeight="1" x14ac:dyDescent="0.25">
      <c r="A61" s="27"/>
      <c r="B61" s="27"/>
      <c r="C61" s="27"/>
      <c r="D61" s="6" t="str">
        <f t="shared" si="0"/>
        <v/>
      </c>
      <c r="E61" s="6" t="str">
        <f t="shared" si="1"/>
        <v/>
      </c>
    </row>
    <row r="62" spans="1:5" ht="20.25" customHeight="1" x14ac:dyDescent="0.25">
      <c r="A62" s="27"/>
      <c r="B62" s="27"/>
      <c r="C62" s="27"/>
      <c r="D62" s="6" t="str">
        <f t="shared" si="0"/>
        <v/>
      </c>
      <c r="E62" s="6" t="str">
        <f t="shared" si="1"/>
        <v/>
      </c>
    </row>
    <row r="63" spans="1:5" ht="20.25" customHeight="1" x14ac:dyDescent="0.25">
      <c r="A63" s="27"/>
      <c r="B63" s="27"/>
      <c r="C63" s="27"/>
      <c r="D63" s="6" t="str">
        <f t="shared" si="0"/>
        <v/>
      </c>
      <c r="E63" s="6" t="str">
        <f t="shared" si="1"/>
        <v/>
      </c>
    </row>
    <row r="64" spans="1:5" ht="20.25" customHeight="1" x14ac:dyDescent="0.25">
      <c r="A64" s="27"/>
      <c r="B64" s="27"/>
      <c r="C64" s="27"/>
      <c r="D64" s="6" t="str">
        <f t="shared" si="0"/>
        <v/>
      </c>
      <c r="E64" s="6" t="str">
        <f t="shared" si="1"/>
        <v/>
      </c>
    </row>
    <row r="65" spans="1:5" ht="20.25" customHeight="1" x14ac:dyDescent="0.25">
      <c r="A65" s="27"/>
      <c r="B65" s="27"/>
      <c r="C65" s="27"/>
      <c r="D65" s="6" t="str">
        <f t="shared" si="0"/>
        <v/>
      </c>
      <c r="E65" s="6" t="str">
        <f t="shared" si="1"/>
        <v/>
      </c>
    </row>
    <row r="66" spans="1:5" ht="20.25" customHeight="1" x14ac:dyDescent="0.25">
      <c r="A66" s="27"/>
      <c r="B66" s="27"/>
      <c r="C66" s="27"/>
      <c r="D66" s="6" t="str">
        <f t="shared" si="0"/>
        <v/>
      </c>
      <c r="E66" s="6" t="str">
        <f t="shared" si="1"/>
        <v/>
      </c>
    </row>
    <row r="67" spans="1:5" ht="20.25" customHeight="1" x14ac:dyDescent="0.25">
      <c r="A67" s="27"/>
      <c r="B67" s="27"/>
      <c r="C67" s="27"/>
      <c r="D67" s="6" t="str">
        <f t="shared" si="0"/>
        <v/>
      </c>
      <c r="E67" s="6" t="str">
        <f t="shared" si="1"/>
        <v/>
      </c>
    </row>
    <row r="68" spans="1:5" ht="20.25" customHeight="1" x14ac:dyDescent="0.25">
      <c r="A68" s="27"/>
      <c r="B68" s="27"/>
      <c r="C68" s="27"/>
      <c r="D68" s="6" t="str">
        <f t="shared" si="0"/>
        <v/>
      </c>
      <c r="E68" s="6" t="str">
        <f t="shared" si="1"/>
        <v/>
      </c>
    </row>
    <row r="69" spans="1:5" ht="20.25" customHeight="1" x14ac:dyDescent="0.25">
      <c r="A69" s="27"/>
      <c r="B69" s="27"/>
      <c r="C69" s="27"/>
      <c r="D69" s="6" t="str">
        <f t="shared" ref="D69:D132" si="2">IF(C69="","",IF(C69="PRODUCTION","Taxable (T)",IF(C69="PÉDAGOGIE","Non Taxable (NT)",IF(C69="FONCTIONNEMENT GÉNÉRAL","Mutualisé (M)","ERREUR"))))</f>
        <v/>
      </c>
      <c r="E69" s="6" t="str">
        <f t="shared" ref="E69:E132" si="3">IF(C69="","",IF(C69="PRODUCTION","T",IF(C69="PÉDAGOGIE","NT",IF(C69="FONCTIONNEMENT GÉNÉRAL","M","ERREUR"))))</f>
        <v/>
      </c>
    </row>
    <row r="70" spans="1:5" ht="20.25" customHeight="1" x14ac:dyDescent="0.25">
      <c r="A70" s="27"/>
      <c r="B70" s="27"/>
      <c r="C70" s="27"/>
      <c r="D70" s="6" t="str">
        <f t="shared" si="2"/>
        <v/>
      </c>
      <c r="E70" s="6" t="str">
        <f t="shared" si="3"/>
        <v/>
      </c>
    </row>
    <row r="71" spans="1:5" ht="20.25" customHeight="1" x14ac:dyDescent="0.25">
      <c r="A71" s="27"/>
      <c r="B71" s="27"/>
      <c r="C71" s="27"/>
      <c r="D71" s="6" t="str">
        <f t="shared" si="2"/>
        <v/>
      </c>
      <c r="E71" s="6" t="str">
        <f t="shared" si="3"/>
        <v/>
      </c>
    </row>
    <row r="72" spans="1:5" ht="20.25" customHeight="1" x14ac:dyDescent="0.25">
      <c r="A72" s="27"/>
      <c r="B72" s="27"/>
      <c r="C72" s="27"/>
      <c r="D72" s="6" t="str">
        <f t="shared" si="2"/>
        <v/>
      </c>
      <c r="E72" s="6" t="str">
        <f t="shared" si="3"/>
        <v/>
      </c>
    </row>
    <row r="73" spans="1:5" ht="20.25" customHeight="1" x14ac:dyDescent="0.25">
      <c r="A73" s="27"/>
      <c r="B73" s="27"/>
      <c r="C73" s="27"/>
      <c r="D73" s="6" t="str">
        <f t="shared" si="2"/>
        <v/>
      </c>
      <c r="E73" s="6" t="str">
        <f t="shared" si="3"/>
        <v/>
      </c>
    </row>
    <row r="74" spans="1:5" ht="20.25" customHeight="1" x14ac:dyDescent="0.25">
      <c r="A74" s="27"/>
      <c r="B74" s="27"/>
      <c r="C74" s="27"/>
      <c r="D74" s="6" t="str">
        <f t="shared" si="2"/>
        <v/>
      </c>
      <c r="E74" s="6" t="str">
        <f t="shared" si="3"/>
        <v/>
      </c>
    </row>
    <row r="75" spans="1:5" ht="20.25" customHeight="1" x14ac:dyDescent="0.25">
      <c r="A75" s="27"/>
      <c r="B75" s="27"/>
      <c r="C75" s="27"/>
      <c r="D75" s="6" t="str">
        <f t="shared" si="2"/>
        <v/>
      </c>
      <c r="E75" s="6" t="str">
        <f t="shared" si="3"/>
        <v/>
      </c>
    </row>
    <row r="76" spans="1:5" ht="20.25" customHeight="1" x14ac:dyDescent="0.25">
      <c r="A76" s="27"/>
      <c r="B76" s="27"/>
      <c r="C76" s="27"/>
      <c r="D76" s="6" t="str">
        <f t="shared" si="2"/>
        <v/>
      </c>
      <c r="E76" s="6" t="str">
        <f t="shared" si="3"/>
        <v/>
      </c>
    </row>
    <row r="77" spans="1:5" ht="20.25" customHeight="1" x14ac:dyDescent="0.25">
      <c r="A77" s="27"/>
      <c r="B77" s="27"/>
      <c r="C77" s="27"/>
      <c r="D77" s="6" t="str">
        <f t="shared" si="2"/>
        <v/>
      </c>
      <c r="E77" s="6" t="str">
        <f t="shared" si="3"/>
        <v/>
      </c>
    </row>
    <row r="78" spans="1:5" ht="20.25" customHeight="1" x14ac:dyDescent="0.25">
      <c r="A78" s="27"/>
      <c r="B78" s="27"/>
      <c r="C78" s="27"/>
      <c r="D78" s="6" t="str">
        <f t="shared" si="2"/>
        <v/>
      </c>
      <c r="E78" s="6" t="str">
        <f t="shared" si="3"/>
        <v/>
      </c>
    </row>
    <row r="79" spans="1:5" ht="20.25" customHeight="1" x14ac:dyDescent="0.25">
      <c r="A79" s="27"/>
      <c r="B79" s="27"/>
      <c r="C79" s="27"/>
      <c r="D79" s="6" t="str">
        <f t="shared" si="2"/>
        <v/>
      </c>
      <c r="E79" s="6" t="str">
        <f t="shared" si="3"/>
        <v/>
      </c>
    </row>
    <row r="80" spans="1:5" ht="20.25" customHeight="1" x14ac:dyDescent="0.25">
      <c r="A80" s="27"/>
      <c r="B80" s="27"/>
      <c r="C80" s="27"/>
      <c r="D80" s="6" t="str">
        <f t="shared" si="2"/>
        <v/>
      </c>
      <c r="E80" s="6" t="str">
        <f t="shared" si="3"/>
        <v/>
      </c>
    </row>
    <row r="81" spans="1:5" ht="20.25" customHeight="1" x14ac:dyDescent="0.25">
      <c r="A81" s="27"/>
      <c r="B81" s="27"/>
      <c r="C81" s="27"/>
      <c r="D81" s="6" t="str">
        <f t="shared" si="2"/>
        <v/>
      </c>
      <c r="E81" s="6" t="str">
        <f t="shared" si="3"/>
        <v/>
      </c>
    </row>
    <row r="82" spans="1:5" ht="20.25" customHeight="1" x14ac:dyDescent="0.25">
      <c r="A82" s="27"/>
      <c r="B82" s="27"/>
      <c r="C82" s="27"/>
      <c r="D82" s="6" t="str">
        <f t="shared" si="2"/>
        <v/>
      </c>
      <c r="E82" s="6" t="str">
        <f t="shared" si="3"/>
        <v/>
      </c>
    </row>
    <row r="83" spans="1:5" ht="20.25" customHeight="1" x14ac:dyDescent="0.25">
      <c r="A83" s="27"/>
      <c r="B83" s="27"/>
      <c r="C83" s="27"/>
      <c r="D83" s="6" t="str">
        <f t="shared" si="2"/>
        <v/>
      </c>
      <c r="E83" s="6" t="str">
        <f t="shared" si="3"/>
        <v/>
      </c>
    </row>
    <row r="84" spans="1:5" ht="20.25" customHeight="1" x14ac:dyDescent="0.25">
      <c r="A84" s="27"/>
      <c r="B84" s="27"/>
      <c r="C84" s="27"/>
      <c r="D84" s="6" t="str">
        <f t="shared" si="2"/>
        <v/>
      </c>
      <c r="E84" s="6" t="str">
        <f t="shared" si="3"/>
        <v/>
      </c>
    </row>
    <row r="85" spans="1:5" ht="20.25" customHeight="1" x14ac:dyDescent="0.25">
      <c r="A85" s="27"/>
      <c r="B85" s="27"/>
      <c r="C85" s="27"/>
      <c r="D85" s="6" t="str">
        <f t="shared" si="2"/>
        <v/>
      </c>
      <c r="E85" s="6" t="str">
        <f t="shared" si="3"/>
        <v/>
      </c>
    </row>
    <row r="86" spans="1:5" ht="20.25" customHeight="1" x14ac:dyDescent="0.25">
      <c r="A86" s="27"/>
      <c r="B86" s="27"/>
      <c r="C86" s="27"/>
      <c r="D86" s="6" t="str">
        <f t="shared" si="2"/>
        <v/>
      </c>
      <c r="E86" s="6" t="str">
        <f t="shared" si="3"/>
        <v/>
      </c>
    </row>
    <row r="87" spans="1:5" ht="20.25" customHeight="1" x14ac:dyDescent="0.25">
      <c r="A87" s="27"/>
      <c r="B87" s="27"/>
      <c r="C87" s="27"/>
      <c r="D87" s="6" t="str">
        <f t="shared" si="2"/>
        <v/>
      </c>
      <c r="E87" s="6" t="str">
        <f t="shared" si="3"/>
        <v/>
      </c>
    </row>
    <row r="88" spans="1:5" ht="20.25" customHeight="1" x14ac:dyDescent="0.25">
      <c r="A88" s="27"/>
      <c r="B88" s="27"/>
      <c r="C88" s="27"/>
      <c r="D88" s="6" t="str">
        <f t="shared" si="2"/>
        <v/>
      </c>
      <c r="E88" s="6" t="str">
        <f t="shared" si="3"/>
        <v/>
      </c>
    </row>
    <row r="89" spans="1:5" ht="20.25" customHeight="1" x14ac:dyDescent="0.25">
      <c r="A89" s="27"/>
      <c r="B89" s="27"/>
      <c r="C89" s="27"/>
      <c r="D89" s="6" t="str">
        <f t="shared" si="2"/>
        <v/>
      </c>
      <c r="E89" s="6" t="str">
        <f t="shared" si="3"/>
        <v/>
      </c>
    </row>
    <row r="90" spans="1:5" ht="20.25" customHeight="1" x14ac:dyDescent="0.25">
      <c r="A90" s="27"/>
      <c r="B90" s="27"/>
      <c r="C90" s="27"/>
      <c r="D90" s="6" t="str">
        <f t="shared" si="2"/>
        <v/>
      </c>
      <c r="E90" s="6" t="str">
        <f t="shared" si="3"/>
        <v/>
      </c>
    </row>
    <row r="91" spans="1:5" ht="20.25" customHeight="1" x14ac:dyDescent="0.25">
      <c r="A91" s="27"/>
      <c r="B91" s="27"/>
      <c r="C91" s="27"/>
      <c r="D91" s="6" t="str">
        <f t="shared" si="2"/>
        <v/>
      </c>
      <c r="E91" s="6" t="str">
        <f t="shared" si="3"/>
        <v/>
      </c>
    </row>
    <row r="92" spans="1:5" ht="20.25" customHeight="1" x14ac:dyDescent="0.25">
      <c r="A92" s="27"/>
      <c r="B92" s="27"/>
      <c r="C92" s="27"/>
      <c r="D92" s="6" t="str">
        <f t="shared" si="2"/>
        <v/>
      </c>
      <c r="E92" s="6" t="str">
        <f t="shared" si="3"/>
        <v/>
      </c>
    </row>
    <row r="93" spans="1:5" ht="20.25" customHeight="1" x14ac:dyDescent="0.25">
      <c r="A93" s="27"/>
      <c r="B93" s="27"/>
      <c r="C93" s="27"/>
      <c r="D93" s="6" t="str">
        <f t="shared" si="2"/>
        <v/>
      </c>
      <c r="E93" s="6" t="str">
        <f t="shared" si="3"/>
        <v/>
      </c>
    </row>
    <row r="94" spans="1:5" ht="20.25" customHeight="1" x14ac:dyDescent="0.25">
      <c r="A94" s="27"/>
      <c r="B94" s="27"/>
      <c r="C94" s="27"/>
      <c r="D94" s="6" t="str">
        <f t="shared" si="2"/>
        <v/>
      </c>
      <c r="E94" s="6" t="str">
        <f t="shared" si="3"/>
        <v/>
      </c>
    </row>
    <row r="95" spans="1:5" ht="20.25" customHeight="1" x14ac:dyDescent="0.25">
      <c r="A95" s="27"/>
      <c r="B95" s="27"/>
      <c r="C95" s="27"/>
      <c r="D95" s="6" t="str">
        <f t="shared" si="2"/>
        <v/>
      </c>
      <c r="E95" s="6" t="str">
        <f t="shared" si="3"/>
        <v/>
      </c>
    </row>
    <row r="96" spans="1:5" ht="20.25" customHeight="1" x14ac:dyDescent="0.25">
      <c r="A96" s="27"/>
      <c r="B96" s="27"/>
      <c r="C96" s="27"/>
      <c r="D96" s="6" t="str">
        <f t="shared" si="2"/>
        <v/>
      </c>
      <c r="E96" s="6" t="str">
        <f t="shared" si="3"/>
        <v/>
      </c>
    </row>
    <row r="97" spans="1:5" ht="20.25" customHeight="1" x14ac:dyDescent="0.25">
      <c r="A97" s="27"/>
      <c r="B97" s="27"/>
      <c r="C97" s="27"/>
      <c r="D97" s="6" t="str">
        <f t="shared" si="2"/>
        <v/>
      </c>
      <c r="E97" s="6" t="str">
        <f t="shared" si="3"/>
        <v/>
      </c>
    </row>
    <row r="98" spans="1:5" ht="20.25" customHeight="1" x14ac:dyDescent="0.25">
      <c r="A98" s="27"/>
      <c r="B98" s="27"/>
      <c r="C98" s="27"/>
      <c r="D98" s="6" t="str">
        <f t="shared" si="2"/>
        <v/>
      </c>
      <c r="E98" s="6" t="str">
        <f t="shared" si="3"/>
        <v/>
      </c>
    </row>
    <row r="99" spans="1:5" ht="20.25" customHeight="1" x14ac:dyDescent="0.25">
      <c r="A99" s="27"/>
      <c r="B99" s="27"/>
      <c r="C99" s="27"/>
      <c r="D99" s="6" t="str">
        <f t="shared" si="2"/>
        <v/>
      </c>
      <c r="E99" s="6" t="str">
        <f t="shared" si="3"/>
        <v/>
      </c>
    </row>
    <row r="100" spans="1:5" ht="20.25" customHeight="1" x14ac:dyDescent="0.25">
      <c r="A100" s="27"/>
      <c r="B100" s="27"/>
      <c r="C100" s="27"/>
      <c r="D100" s="6" t="str">
        <f t="shared" si="2"/>
        <v/>
      </c>
      <c r="E100" s="6" t="str">
        <f t="shared" si="3"/>
        <v/>
      </c>
    </row>
    <row r="101" spans="1:5" ht="20.25" customHeight="1" x14ac:dyDescent="0.25">
      <c r="A101" s="27"/>
      <c r="B101" s="27"/>
      <c r="C101" s="27"/>
      <c r="D101" s="6" t="str">
        <f t="shared" si="2"/>
        <v/>
      </c>
      <c r="E101" s="6" t="str">
        <f t="shared" si="3"/>
        <v/>
      </c>
    </row>
    <row r="102" spans="1:5" ht="20.25" customHeight="1" x14ac:dyDescent="0.25">
      <c r="A102" s="27"/>
      <c r="B102" s="27"/>
      <c r="C102" s="27"/>
      <c r="D102" s="6" t="str">
        <f t="shared" si="2"/>
        <v/>
      </c>
      <c r="E102" s="6" t="str">
        <f t="shared" si="3"/>
        <v/>
      </c>
    </row>
    <row r="103" spans="1:5" ht="20.25" customHeight="1" x14ac:dyDescent="0.25">
      <c r="A103" s="27"/>
      <c r="B103" s="27"/>
      <c r="C103" s="27"/>
      <c r="D103" s="6" t="str">
        <f t="shared" si="2"/>
        <v/>
      </c>
      <c r="E103" s="6" t="str">
        <f t="shared" si="3"/>
        <v/>
      </c>
    </row>
    <row r="104" spans="1:5" ht="20.25" customHeight="1" x14ac:dyDescent="0.25">
      <c r="A104" s="27"/>
      <c r="B104" s="27"/>
      <c r="C104" s="27"/>
      <c r="D104" s="6" t="str">
        <f t="shared" si="2"/>
        <v/>
      </c>
      <c r="E104" s="6" t="str">
        <f t="shared" si="3"/>
        <v/>
      </c>
    </row>
    <row r="105" spans="1:5" ht="20.25" customHeight="1" x14ac:dyDescent="0.25">
      <c r="A105" s="27"/>
      <c r="B105" s="27"/>
      <c r="C105" s="27"/>
      <c r="D105" s="6" t="str">
        <f t="shared" si="2"/>
        <v/>
      </c>
      <c r="E105" s="6" t="str">
        <f t="shared" si="3"/>
        <v/>
      </c>
    </row>
    <row r="106" spans="1:5" ht="20.25" customHeight="1" x14ac:dyDescent="0.25">
      <c r="A106" s="27"/>
      <c r="B106" s="27"/>
      <c r="C106" s="27"/>
      <c r="D106" s="6" t="str">
        <f t="shared" si="2"/>
        <v/>
      </c>
      <c r="E106" s="6" t="str">
        <f t="shared" si="3"/>
        <v/>
      </c>
    </row>
    <row r="107" spans="1:5" ht="20.25" customHeight="1" x14ac:dyDescent="0.25">
      <c r="A107" s="27"/>
      <c r="B107" s="27"/>
      <c r="C107" s="27"/>
      <c r="D107" s="6" t="str">
        <f t="shared" si="2"/>
        <v/>
      </c>
      <c r="E107" s="6" t="str">
        <f t="shared" si="3"/>
        <v/>
      </c>
    </row>
    <row r="108" spans="1:5" ht="20.25" customHeight="1" x14ac:dyDescent="0.25">
      <c r="A108" s="27"/>
      <c r="B108" s="27"/>
      <c r="C108" s="27"/>
      <c r="D108" s="6" t="str">
        <f t="shared" si="2"/>
        <v/>
      </c>
      <c r="E108" s="6" t="str">
        <f t="shared" si="3"/>
        <v/>
      </c>
    </row>
    <row r="109" spans="1:5" ht="20.25" customHeight="1" x14ac:dyDescent="0.25">
      <c r="A109" s="27"/>
      <c r="B109" s="27"/>
      <c r="C109" s="27"/>
      <c r="D109" s="6" t="str">
        <f t="shared" si="2"/>
        <v/>
      </c>
      <c r="E109" s="6" t="str">
        <f t="shared" si="3"/>
        <v/>
      </c>
    </row>
    <row r="110" spans="1:5" ht="20.25" customHeight="1" x14ac:dyDescent="0.25">
      <c r="A110" s="27"/>
      <c r="B110" s="27"/>
      <c r="C110" s="27"/>
      <c r="D110" s="6" t="str">
        <f t="shared" si="2"/>
        <v/>
      </c>
      <c r="E110" s="6" t="str">
        <f t="shared" si="3"/>
        <v/>
      </c>
    </row>
    <row r="111" spans="1:5" ht="20.25" customHeight="1" x14ac:dyDescent="0.25">
      <c r="A111" s="27"/>
      <c r="B111" s="27"/>
      <c r="C111" s="27"/>
      <c r="D111" s="6" t="str">
        <f t="shared" si="2"/>
        <v/>
      </c>
      <c r="E111" s="6" t="str">
        <f t="shared" si="3"/>
        <v/>
      </c>
    </row>
    <row r="112" spans="1:5" ht="20.25" customHeight="1" x14ac:dyDescent="0.25">
      <c r="A112" s="27"/>
      <c r="B112" s="27"/>
      <c r="C112" s="27"/>
      <c r="D112" s="6" t="str">
        <f t="shared" si="2"/>
        <v/>
      </c>
      <c r="E112" s="6" t="str">
        <f t="shared" si="3"/>
        <v/>
      </c>
    </row>
    <row r="113" spans="1:5" ht="20.25" customHeight="1" x14ac:dyDescent="0.25">
      <c r="A113" s="27"/>
      <c r="B113" s="27"/>
      <c r="C113" s="27"/>
      <c r="D113" s="6" t="str">
        <f t="shared" si="2"/>
        <v/>
      </c>
      <c r="E113" s="6" t="str">
        <f t="shared" si="3"/>
        <v/>
      </c>
    </row>
    <row r="114" spans="1:5" ht="20.25" customHeight="1" x14ac:dyDescent="0.25">
      <c r="A114" s="27"/>
      <c r="B114" s="27"/>
      <c r="C114" s="27"/>
      <c r="D114" s="6" t="str">
        <f t="shared" si="2"/>
        <v/>
      </c>
      <c r="E114" s="6" t="str">
        <f t="shared" si="3"/>
        <v/>
      </c>
    </row>
    <row r="115" spans="1:5" ht="20.25" customHeight="1" x14ac:dyDescent="0.25">
      <c r="A115" s="27"/>
      <c r="B115" s="27"/>
      <c r="C115" s="27"/>
      <c r="D115" s="6" t="str">
        <f t="shared" si="2"/>
        <v/>
      </c>
      <c r="E115" s="6" t="str">
        <f t="shared" si="3"/>
        <v/>
      </c>
    </row>
    <row r="116" spans="1:5" ht="20.25" customHeight="1" x14ac:dyDescent="0.25">
      <c r="A116" s="27"/>
      <c r="B116" s="27"/>
      <c r="C116" s="27"/>
      <c r="D116" s="6" t="str">
        <f t="shared" si="2"/>
        <v/>
      </c>
      <c r="E116" s="6" t="str">
        <f t="shared" si="3"/>
        <v/>
      </c>
    </row>
    <row r="117" spans="1:5" ht="20.25" customHeight="1" x14ac:dyDescent="0.25">
      <c r="A117" s="27"/>
      <c r="B117" s="27"/>
      <c r="C117" s="27"/>
      <c r="D117" s="6" t="str">
        <f t="shared" si="2"/>
        <v/>
      </c>
      <c r="E117" s="6" t="str">
        <f t="shared" si="3"/>
        <v/>
      </c>
    </row>
    <row r="118" spans="1:5" ht="20.25" customHeight="1" x14ac:dyDescent="0.25">
      <c r="A118" s="27"/>
      <c r="B118" s="27"/>
      <c r="C118" s="27"/>
      <c r="D118" s="6" t="str">
        <f t="shared" si="2"/>
        <v/>
      </c>
      <c r="E118" s="6" t="str">
        <f t="shared" si="3"/>
        <v/>
      </c>
    </row>
    <row r="119" spans="1:5" ht="20.25" customHeight="1" x14ac:dyDescent="0.25">
      <c r="A119" s="27"/>
      <c r="B119" s="27"/>
      <c r="C119" s="27"/>
      <c r="D119" s="6" t="str">
        <f t="shared" si="2"/>
        <v/>
      </c>
      <c r="E119" s="6" t="str">
        <f t="shared" si="3"/>
        <v/>
      </c>
    </row>
    <row r="120" spans="1:5" ht="20.25" customHeight="1" x14ac:dyDescent="0.25">
      <c r="A120" s="27"/>
      <c r="B120" s="27"/>
      <c r="C120" s="27"/>
      <c r="D120" s="6" t="str">
        <f t="shared" si="2"/>
        <v/>
      </c>
      <c r="E120" s="6" t="str">
        <f t="shared" si="3"/>
        <v/>
      </c>
    </row>
    <row r="121" spans="1:5" ht="20.25" customHeight="1" x14ac:dyDescent="0.25">
      <c r="A121" s="27"/>
      <c r="B121" s="27"/>
      <c r="C121" s="27"/>
      <c r="D121" s="6" t="str">
        <f t="shared" si="2"/>
        <v/>
      </c>
      <c r="E121" s="6" t="str">
        <f t="shared" si="3"/>
        <v/>
      </c>
    </row>
    <row r="122" spans="1:5" ht="20.25" customHeight="1" x14ac:dyDescent="0.25">
      <c r="A122" s="27"/>
      <c r="B122" s="27"/>
      <c r="C122" s="27"/>
      <c r="D122" s="6" t="str">
        <f t="shared" si="2"/>
        <v/>
      </c>
      <c r="E122" s="6" t="str">
        <f t="shared" si="3"/>
        <v/>
      </c>
    </row>
    <row r="123" spans="1:5" ht="20.25" customHeight="1" x14ac:dyDescent="0.25">
      <c r="A123" s="27"/>
      <c r="B123" s="27"/>
      <c r="C123" s="27"/>
      <c r="D123" s="6" t="str">
        <f t="shared" si="2"/>
        <v/>
      </c>
      <c r="E123" s="6" t="str">
        <f t="shared" si="3"/>
        <v/>
      </c>
    </row>
    <row r="124" spans="1:5" ht="20.25" customHeight="1" x14ac:dyDescent="0.25">
      <c r="A124" s="27"/>
      <c r="B124" s="27"/>
      <c r="C124" s="27"/>
      <c r="D124" s="6" t="str">
        <f t="shared" si="2"/>
        <v/>
      </c>
      <c r="E124" s="6" t="str">
        <f t="shared" si="3"/>
        <v/>
      </c>
    </row>
    <row r="125" spans="1:5" ht="20.25" customHeight="1" x14ac:dyDescent="0.25">
      <c r="A125" s="27"/>
      <c r="B125" s="27"/>
      <c r="C125" s="27"/>
      <c r="D125" s="6" t="str">
        <f t="shared" si="2"/>
        <v/>
      </c>
      <c r="E125" s="6" t="str">
        <f t="shared" si="3"/>
        <v/>
      </c>
    </row>
    <row r="126" spans="1:5" ht="20.25" customHeight="1" x14ac:dyDescent="0.25">
      <c r="A126" s="27"/>
      <c r="B126" s="27"/>
      <c r="C126" s="27"/>
      <c r="D126" s="6" t="str">
        <f t="shared" si="2"/>
        <v/>
      </c>
      <c r="E126" s="6" t="str">
        <f t="shared" si="3"/>
        <v/>
      </c>
    </row>
    <row r="127" spans="1:5" ht="20.25" customHeight="1" x14ac:dyDescent="0.25">
      <c r="A127" s="27"/>
      <c r="B127" s="27"/>
      <c r="C127" s="27"/>
      <c r="D127" s="6" t="str">
        <f t="shared" si="2"/>
        <v/>
      </c>
      <c r="E127" s="6" t="str">
        <f t="shared" si="3"/>
        <v/>
      </c>
    </row>
    <row r="128" spans="1:5" ht="20.25" customHeight="1" x14ac:dyDescent="0.25">
      <c r="A128" s="27"/>
      <c r="B128" s="27"/>
      <c r="C128" s="27"/>
      <c r="D128" s="6" t="str">
        <f t="shared" si="2"/>
        <v/>
      </c>
      <c r="E128" s="6" t="str">
        <f t="shared" si="3"/>
        <v/>
      </c>
    </row>
    <row r="129" spans="1:5" ht="20.25" customHeight="1" x14ac:dyDescent="0.25">
      <c r="A129" s="27"/>
      <c r="B129" s="27"/>
      <c r="C129" s="27"/>
      <c r="D129" s="6" t="str">
        <f t="shared" si="2"/>
        <v/>
      </c>
      <c r="E129" s="6" t="str">
        <f t="shared" si="3"/>
        <v/>
      </c>
    </row>
    <row r="130" spans="1:5" ht="20.25" customHeight="1" x14ac:dyDescent="0.25">
      <c r="A130" s="27"/>
      <c r="B130" s="27"/>
      <c r="C130" s="27"/>
      <c r="D130" s="6" t="str">
        <f t="shared" si="2"/>
        <v/>
      </c>
      <c r="E130" s="6" t="str">
        <f t="shared" si="3"/>
        <v/>
      </c>
    </row>
    <row r="131" spans="1:5" ht="20.25" customHeight="1" x14ac:dyDescent="0.25">
      <c r="A131" s="27"/>
      <c r="B131" s="27"/>
      <c r="C131" s="27"/>
      <c r="D131" s="6" t="str">
        <f t="shared" si="2"/>
        <v/>
      </c>
      <c r="E131" s="6" t="str">
        <f t="shared" si="3"/>
        <v/>
      </c>
    </row>
    <row r="132" spans="1:5" ht="20.25" customHeight="1" x14ac:dyDescent="0.25">
      <c r="A132" s="27"/>
      <c r="B132" s="27"/>
      <c r="C132" s="27"/>
      <c r="D132" s="6" t="str">
        <f t="shared" si="2"/>
        <v/>
      </c>
      <c r="E132" s="6" t="str">
        <f t="shared" si="3"/>
        <v/>
      </c>
    </row>
    <row r="133" spans="1:5" ht="20.25" customHeight="1" x14ac:dyDescent="0.25">
      <c r="A133" s="27"/>
      <c r="B133" s="27"/>
      <c r="C133" s="27"/>
      <c r="D133" s="6" t="str">
        <f t="shared" ref="D133:D196" si="4">IF(C133="","",IF(C133="PRODUCTION","Taxable (T)",IF(C133="PÉDAGOGIE","Non Taxable (NT)",IF(C133="FONCTIONNEMENT GÉNÉRAL","Mutualisé (M)","ERREUR"))))</f>
        <v/>
      </c>
      <c r="E133" s="6" t="str">
        <f t="shared" ref="E133:E196" si="5">IF(C133="","",IF(C133="PRODUCTION","T",IF(C133="PÉDAGOGIE","NT",IF(C133="FONCTIONNEMENT GÉNÉRAL","M","ERREUR"))))</f>
        <v/>
      </c>
    </row>
    <row r="134" spans="1:5" ht="20.25" customHeight="1" x14ac:dyDescent="0.25">
      <c r="A134" s="27"/>
      <c r="B134" s="27"/>
      <c r="C134" s="27"/>
      <c r="D134" s="6" t="str">
        <f t="shared" si="4"/>
        <v/>
      </c>
      <c r="E134" s="6" t="str">
        <f t="shared" si="5"/>
        <v/>
      </c>
    </row>
    <row r="135" spans="1:5" ht="20.25" customHeight="1" x14ac:dyDescent="0.25">
      <c r="A135" s="27"/>
      <c r="B135" s="27"/>
      <c r="C135" s="27"/>
      <c r="D135" s="6" t="str">
        <f t="shared" si="4"/>
        <v/>
      </c>
      <c r="E135" s="6" t="str">
        <f t="shared" si="5"/>
        <v/>
      </c>
    </row>
    <row r="136" spans="1:5" ht="20.25" customHeight="1" x14ac:dyDescent="0.25">
      <c r="A136" s="27"/>
      <c r="B136" s="27"/>
      <c r="C136" s="27"/>
      <c r="D136" s="6" t="str">
        <f t="shared" si="4"/>
        <v/>
      </c>
      <c r="E136" s="6" t="str">
        <f t="shared" si="5"/>
        <v/>
      </c>
    </row>
    <row r="137" spans="1:5" ht="20.25" customHeight="1" x14ac:dyDescent="0.25">
      <c r="A137" s="27"/>
      <c r="B137" s="27"/>
      <c r="C137" s="27"/>
      <c r="D137" s="6" t="str">
        <f t="shared" si="4"/>
        <v/>
      </c>
      <c r="E137" s="6" t="str">
        <f t="shared" si="5"/>
        <v/>
      </c>
    </row>
    <row r="138" spans="1:5" ht="20.25" customHeight="1" x14ac:dyDescent="0.25">
      <c r="A138" s="27"/>
      <c r="B138" s="27"/>
      <c r="C138" s="27"/>
      <c r="D138" s="6" t="str">
        <f t="shared" si="4"/>
        <v/>
      </c>
      <c r="E138" s="6" t="str">
        <f t="shared" si="5"/>
        <v/>
      </c>
    </row>
    <row r="139" spans="1:5" ht="20.25" customHeight="1" x14ac:dyDescent="0.25">
      <c r="A139" s="27"/>
      <c r="B139" s="27"/>
      <c r="C139" s="27"/>
      <c r="D139" s="6" t="str">
        <f t="shared" si="4"/>
        <v/>
      </c>
      <c r="E139" s="6" t="str">
        <f t="shared" si="5"/>
        <v/>
      </c>
    </row>
    <row r="140" spans="1:5" ht="20.25" customHeight="1" x14ac:dyDescent="0.25">
      <c r="A140" s="27"/>
      <c r="B140" s="27"/>
      <c r="C140" s="27"/>
      <c r="D140" s="6" t="str">
        <f t="shared" si="4"/>
        <v/>
      </c>
      <c r="E140" s="6" t="str">
        <f t="shared" si="5"/>
        <v/>
      </c>
    </row>
    <row r="141" spans="1:5" ht="20.25" customHeight="1" x14ac:dyDescent="0.25">
      <c r="A141" s="27"/>
      <c r="B141" s="27"/>
      <c r="C141" s="27"/>
      <c r="D141" s="6" t="str">
        <f t="shared" si="4"/>
        <v/>
      </c>
      <c r="E141" s="6" t="str">
        <f t="shared" si="5"/>
        <v/>
      </c>
    </row>
    <row r="142" spans="1:5" ht="20.25" customHeight="1" x14ac:dyDescent="0.25">
      <c r="A142" s="27"/>
      <c r="B142" s="27"/>
      <c r="C142" s="27"/>
      <c r="D142" s="6" t="str">
        <f t="shared" si="4"/>
        <v/>
      </c>
      <c r="E142" s="6" t="str">
        <f t="shared" si="5"/>
        <v/>
      </c>
    </row>
    <row r="143" spans="1:5" ht="20.25" customHeight="1" x14ac:dyDescent="0.25">
      <c r="A143" s="27"/>
      <c r="B143" s="27"/>
      <c r="C143" s="27"/>
      <c r="D143" s="6" t="str">
        <f t="shared" si="4"/>
        <v/>
      </c>
      <c r="E143" s="6" t="str">
        <f t="shared" si="5"/>
        <v/>
      </c>
    </row>
    <row r="144" spans="1:5" ht="20.25" customHeight="1" x14ac:dyDescent="0.25">
      <c r="A144" s="27"/>
      <c r="B144" s="27"/>
      <c r="C144" s="27"/>
      <c r="D144" s="6" t="str">
        <f t="shared" si="4"/>
        <v/>
      </c>
      <c r="E144" s="6" t="str">
        <f t="shared" si="5"/>
        <v/>
      </c>
    </row>
    <row r="145" spans="1:5" ht="20.25" customHeight="1" x14ac:dyDescent="0.25">
      <c r="A145" s="27"/>
      <c r="B145" s="27"/>
      <c r="C145" s="27"/>
      <c r="D145" s="6" t="str">
        <f t="shared" si="4"/>
        <v/>
      </c>
      <c r="E145" s="6" t="str">
        <f t="shared" si="5"/>
        <v/>
      </c>
    </row>
    <row r="146" spans="1:5" ht="20.25" customHeight="1" x14ac:dyDescent="0.25">
      <c r="A146" s="27"/>
      <c r="B146" s="27"/>
      <c r="C146" s="27"/>
      <c r="D146" s="6" t="str">
        <f t="shared" si="4"/>
        <v/>
      </c>
      <c r="E146" s="6" t="str">
        <f t="shared" si="5"/>
        <v/>
      </c>
    </row>
    <row r="147" spans="1:5" ht="20.25" customHeight="1" x14ac:dyDescent="0.25">
      <c r="A147" s="27"/>
      <c r="B147" s="27"/>
      <c r="C147" s="27"/>
      <c r="D147" s="6" t="str">
        <f t="shared" si="4"/>
        <v/>
      </c>
      <c r="E147" s="6" t="str">
        <f t="shared" si="5"/>
        <v/>
      </c>
    </row>
    <row r="148" spans="1:5" ht="20.25" customHeight="1" x14ac:dyDescent="0.25">
      <c r="A148" s="27"/>
      <c r="B148" s="27"/>
      <c r="C148" s="27"/>
      <c r="D148" s="6" t="str">
        <f t="shared" si="4"/>
        <v/>
      </c>
      <c r="E148" s="6" t="str">
        <f t="shared" si="5"/>
        <v/>
      </c>
    </row>
    <row r="149" spans="1:5" ht="20.25" customHeight="1" x14ac:dyDescent="0.25">
      <c r="A149" s="27"/>
      <c r="B149" s="27"/>
      <c r="C149" s="27"/>
      <c r="D149" s="6" t="str">
        <f t="shared" si="4"/>
        <v/>
      </c>
      <c r="E149" s="6" t="str">
        <f t="shared" si="5"/>
        <v/>
      </c>
    </row>
    <row r="150" spans="1:5" ht="20.25" customHeight="1" x14ac:dyDescent="0.25">
      <c r="A150" s="27"/>
      <c r="B150" s="27"/>
      <c r="C150" s="27"/>
      <c r="D150" s="6" t="str">
        <f t="shared" si="4"/>
        <v/>
      </c>
      <c r="E150" s="6" t="str">
        <f t="shared" si="5"/>
        <v/>
      </c>
    </row>
    <row r="151" spans="1:5" ht="20.25" customHeight="1" x14ac:dyDescent="0.25">
      <c r="A151" s="27"/>
      <c r="B151" s="27"/>
      <c r="C151" s="27"/>
      <c r="D151" s="6" t="str">
        <f t="shared" si="4"/>
        <v/>
      </c>
      <c r="E151" s="6" t="str">
        <f t="shared" si="5"/>
        <v/>
      </c>
    </row>
    <row r="152" spans="1:5" ht="20.25" customHeight="1" x14ac:dyDescent="0.25">
      <c r="A152" s="27"/>
      <c r="B152" s="27"/>
      <c r="C152" s="27"/>
      <c r="D152" s="6" t="str">
        <f t="shared" si="4"/>
        <v/>
      </c>
      <c r="E152" s="6" t="str">
        <f t="shared" si="5"/>
        <v/>
      </c>
    </row>
    <row r="153" spans="1:5" ht="20.25" customHeight="1" x14ac:dyDescent="0.25">
      <c r="A153" s="27"/>
      <c r="B153" s="27"/>
      <c r="C153" s="27"/>
      <c r="D153" s="6" t="str">
        <f t="shared" si="4"/>
        <v/>
      </c>
      <c r="E153" s="6" t="str">
        <f t="shared" si="5"/>
        <v/>
      </c>
    </row>
    <row r="154" spans="1:5" ht="20.25" customHeight="1" x14ac:dyDescent="0.25">
      <c r="A154" s="27"/>
      <c r="B154" s="27"/>
      <c r="C154" s="27"/>
      <c r="D154" s="6" t="str">
        <f t="shared" si="4"/>
        <v/>
      </c>
      <c r="E154" s="6" t="str">
        <f t="shared" si="5"/>
        <v/>
      </c>
    </row>
    <row r="155" spans="1:5" ht="20.25" customHeight="1" x14ac:dyDescent="0.25">
      <c r="A155" s="27"/>
      <c r="B155" s="27"/>
      <c r="C155" s="27"/>
      <c r="D155" s="6" t="str">
        <f t="shared" si="4"/>
        <v/>
      </c>
      <c r="E155" s="6" t="str">
        <f t="shared" si="5"/>
        <v/>
      </c>
    </row>
    <row r="156" spans="1:5" ht="20.25" customHeight="1" x14ac:dyDescent="0.25">
      <c r="A156" s="27"/>
      <c r="B156" s="27"/>
      <c r="C156" s="27"/>
      <c r="D156" s="6" t="str">
        <f t="shared" si="4"/>
        <v/>
      </c>
      <c r="E156" s="6" t="str">
        <f t="shared" si="5"/>
        <v/>
      </c>
    </row>
    <row r="157" spans="1:5" ht="20.25" customHeight="1" x14ac:dyDescent="0.25">
      <c r="A157" s="27"/>
      <c r="B157" s="27"/>
      <c r="C157" s="27"/>
      <c r="D157" s="6" t="str">
        <f t="shared" si="4"/>
        <v/>
      </c>
      <c r="E157" s="6" t="str">
        <f t="shared" si="5"/>
        <v/>
      </c>
    </row>
    <row r="158" spans="1:5" ht="20.25" customHeight="1" x14ac:dyDescent="0.25">
      <c r="A158" s="27"/>
      <c r="B158" s="27"/>
      <c r="C158" s="27"/>
      <c r="D158" s="6" t="str">
        <f t="shared" si="4"/>
        <v/>
      </c>
      <c r="E158" s="6" t="str">
        <f t="shared" si="5"/>
        <v/>
      </c>
    </row>
    <row r="159" spans="1:5" ht="20.25" customHeight="1" x14ac:dyDescent="0.25">
      <c r="A159" s="27"/>
      <c r="B159" s="27"/>
      <c r="C159" s="27"/>
      <c r="D159" s="6" t="str">
        <f t="shared" si="4"/>
        <v/>
      </c>
      <c r="E159" s="6" t="str">
        <f t="shared" si="5"/>
        <v/>
      </c>
    </row>
    <row r="160" spans="1:5" ht="20.25" customHeight="1" x14ac:dyDescent="0.25">
      <c r="A160" s="27"/>
      <c r="B160" s="27"/>
      <c r="C160" s="27"/>
      <c r="D160" s="6" t="str">
        <f t="shared" si="4"/>
        <v/>
      </c>
      <c r="E160" s="6" t="str">
        <f t="shared" si="5"/>
        <v/>
      </c>
    </row>
    <row r="161" spans="1:5" ht="20.25" customHeight="1" x14ac:dyDescent="0.25">
      <c r="A161" s="27"/>
      <c r="B161" s="27"/>
      <c r="C161" s="27"/>
      <c r="D161" s="6" t="str">
        <f t="shared" si="4"/>
        <v/>
      </c>
      <c r="E161" s="6" t="str">
        <f t="shared" si="5"/>
        <v/>
      </c>
    </row>
    <row r="162" spans="1:5" ht="20.25" customHeight="1" x14ac:dyDescent="0.25">
      <c r="A162" s="27"/>
      <c r="B162" s="27"/>
      <c r="C162" s="27"/>
      <c r="D162" s="6" t="str">
        <f t="shared" si="4"/>
        <v/>
      </c>
      <c r="E162" s="6" t="str">
        <f t="shared" si="5"/>
        <v/>
      </c>
    </row>
    <row r="163" spans="1:5" ht="20.25" customHeight="1" x14ac:dyDescent="0.25">
      <c r="A163" s="27"/>
      <c r="B163" s="27"/>
      <c r="C163" s="27"/>
      <c r="D163" s="6" t="str">
        <f t="shared" si="4"/>
        <v/>
      </c>
      <c r="E163" s="6" t="str">
        <f t="shared" si="5"/>
        <v/>
      </c>
    </row>
    <row r="164" spans="1:5" ht="20.25" customHeight="1" x14ac:dyDescent="0.25">
      <c r="A164" s="27"/>
      <c r="B164" s="27"/>
      <c r="C164" s="27"/>
      <c r="D164" s="6" t="str">
        <f t="shared" si="4"/>
        <v/>
      </c>
      <c r="E164" s="6" t="str">
        <f t="shared" si="5"/>
        <v/>
      </c>
    </row>
    <row r="165" spans="1:5" ht="20.25" customHeight="1" x14ac:dyDescent="0.25">
      <c r="A165" s="27"/>
      <c r="B165" s="27"/>
      <c r="C165" s="27"/>
      <c r="D165" s="6" t="str">
        <f t="shared" si="4"/>
        <v/>
      </c>
      <c r="E165" s="6" t="str">
        <f t="shared" si="5"/>
        <v/>
      </c>
    </row>
    <row r="166" spans="1:5" ht="20.25" customHeight="1" x14ac:dyDescent="0.25">
      <c r="A166" s="27"/>
      <c r="B166" s="27"/>
      <c r="C166" s="27"/>
      <c r="D166" s="6" t="str">
        <f t="shared" si="4"/>
        <v/>
      </c>
      <c r="E166" s="6" t="str">
        <f t="shared" si="5"/>
        <v/>
      </c>
    </row>
    <row r="167" spans="1:5" ht="20.25" customHeight="1" x14ac:dyDescent="0.25">
      <c r="A167" s="27"/>
      <c r="B167" s="27"/>
      <c r="C167" s="27"/>
      <c r="D167" s="6" t="str">
        <f t="shared" si="4"/>
        <v/>
      </c>
      <c r="E167" s="6" t="str">
        <f t="shared" si="5"/>
        <v/>
      </c>
    </row>
    <row r="168" spans="1:5" ht="20.25" customHeight="1" x14ac:dyDescent="0.25">
      <c r="A168" s="27"/>
      <c r="B168" s="27"/>
      <c r="C168" s="27"/>
      <c r="D168" s="6" t="str">
        <f t="shared" si="4"/>
        <v/>
      </c>
      <c r="E168" s="6" t="str">
        <f t="shared" si="5"/>
        <v/>
      </c>
    </row>
    <row r="169" spans="1:5" ht="20.25" customHeight="1" x14ac:dyDescent="0.25">
      <c r="A169" s="27"/>
      <c r="B169" s="27"/>
      <c r="C169" s="27"/>
      <c r="D169" s="6" t="str">
        <f t="shared" si="4"/>
        <v/>
      </c>
      <c r="E169" s="6" t="str">
        <f t="shared" si="5"/>
        <v/>
      </c>
    </row>
    <row r="170" spans="1:5" ht="20.25" customHeight="1" x14ac:dyDescent="0.25">
      <c r="A170" s="27"/>
      <c r="B170" s="27"/>
      <c r="C170" s="27"/>
      <c r="D170" s="6" t="str">
        <f t="shared" si="4"/>
        <v/>
      </c>
      <c r="E170" s="6" t="str">
        <f t="shared" si="5"/>
        <v/>
      </c>
    </row>
    <row r="171" spans="1:5" ht="20.25" customHeight="1" x14ac:dyDescent="0.25">
      <c r="A171" s="27"/>
      <c r="B171" s="27"/>
      <c r="C171" s="27"/>
      <c r="D171" s="6" t="str">
        <f t="shared" si="4"/>
        <v/>
      </c>
      <c r="E171" s="6" t="str">
        <f t="shared" si="5"/>
        <v/>
      </c>
    </row>
    <row r="172" spans="1:5" ht="20.25" customHeight="1" x14ac:dyDescent="0.25">
      <c r="A172" s="27"/>
      <c r="B172" s="27"/>
      <c r="C172" s="27"/>
      <c r="D172" s="6" t="str">
        <f t="shared" si="4"/>
        <v/>
      </c>
      <c r="E172" s="6" t="str">
        <f t="shared" si="5"/>
        <v/>
      </c>
    </row>
    <row r="173" spans="1:5" ht="20.25" customHeight="1" x14ac:dyDescent="0.25">
      <c r="A173" s="27"/>
      <c r="B173" s="27"/>
      <c r="C173" s="27"/>
      <c r="D173" s="6" t="str">
        <f t="shared" si="4"/>
        <v/>
      </c>
      <c r="E173" s="6" t="str">
        <f t="shared" si="5"/>
        <v/>
      </c>
    </row>
    <row r="174" spans="1:5" ht="20.25" customHeight="1" x14ac:dyDescent="0.25">
      <c r="A174" s="27"/>
      <c r="B174" s="27"/>
      <c r="C174" s="27"/>
      <c r="D174" s="6" t="str">
        <f t="shared" si="4"/>
        <v/>
      </c>
      <c r="E174" s="6" t="str">
        <f t="shared" si="5"/>
        <v/>
      </c>
    </row>
    <row r="175" spans="1:5" ht="20.25" customHeight="1" x14ac:dyDescent="0.25">
      <c r="A175" s="27"/>
      <c r="B175" s="27"/>
      <c r="C175" s="27"/>
      <c r="D175" s="6" t="str">
        <f t="shared" si="4"/>
        <v/>
      </c>
      <c r="E175" s="6" t="str">
        <f t="shared" si="5"/>
        <v/>
      </c>
    </row>
    <row r="176" spans="1:5" ht="20.25" customHeight="1" x14ac:dyDescent="0.25">
      <c r="A176" s="27"/>
      <c r="B176" s="27"/>
      <c r="C176" s="27"/>
      <c r="D176" s="6" t="str">
        <f t="shared" si="4"/>
        <v/>
      </c>
      <c r="E176" s="6" t="str">
        <f t="shared" si="5"/>
        <v/>
      </c>
    </row>
    <row r="177" spans="1:5" ht="20.25" customHeight="1" x14ac:dyDescent="0.25">
      <c r="A177" s="27"/>
      <c r="B177" s="27"/>
      <c r="C177" s="27"/>
      <c r="D177" s="6" t="str">
        <f t="shared" si="4"/>
        <v/>
      </c>
      <c r="E177" s="6" t="str">
        <f t="shared" si="5"/>
        <v/>
      </c>
    </row>
    <row r="178" spans="1:5" ht="20.25" customHeight="1" x14ac:dyDescent="0.25">
      <c r="A178" s="27"/>
      <c r="B178" s="27"/>
      <c r="C178" s="27"/>
      <c r="D178" s="6" t="str">
        <f t="shared" si="4"/>
        <v/>
      </c>
      <c r="E178" s="6" t="str">
        <f t="shared" si="5"/>
        <v/>
      </c>
    </row>
    <row r="179" spans="1:5" ht="20.25" customHeight="1" x14ac:dyDescent="0.25">
      <c r="A179" s="27"/>
      <c r="B179" s="27"/>
      <c r="C179" s="27"/>
      <c r="D179" s="6" t="str">
        <f t="shared" si="4"/>
        <v/>
      </c>
      <c r="E179" s="6" t="str">
        <f t="shared" si="5"/>
        <v/>
      </c>
    </row>
    <row r="180" spans="1:5" ht="20.25" customHeight="1" x14ac:dyDescent="0.25">
      <c r="A180" s="27"/>
      <c r="B180" s="27"/>
      <c r="C180" s="27"/>
      <c r="D180" s="6" t="str">
        <f t="shared" si="4"/>
        <v/>
      </c>
      <c r="E180" s="6" t="str">
        <f t="shared" si="5"/>
        <v/>
      </c>
    </row>
    <row r="181" spans="1:5" ht="20.25" customHeight="1" x14ac:dyDescent="0.25">
      <c r="A181" s="27"/>
      <c r="B181" s="27"/>
      <c r="C181" s="27"/>
      <c r="D181" s="6" t="str">
        <f t="shared" si="4"/>
        <v/>
      </c>
      <c r="E181" s="6" t="str">
        <f t="shared" si="5"/>
        <v/>
      </c>
    </row>
    <row r="182" spans="1:5" ht="20.25" customHeight="1" x14ac:dyDescent="0.25">
      <c r="A182" s="27"/>
      <c r="B182" s="27"/>
      <c r="C182" s="27"/>
      <c r="D182" s="6" t="str">
        <f t="shared" si="4"/>
        <v/>
      </c>
      <c r="E182" s="6" t="str">
        <f t="shared" si="5"/>
        <v/>
      </c>
    </row>
    <row r="183" spans="1:5" ht="20.25" customHeight="1" x14ac:dyDescent="0.25">
      <c r="A183" s="27"/>
      <c r="B183" s="27"/>
      <c r="C183" s="27"/>
      <c r="D183" s="6" t="str">
        <f t="shared" si="4"/>
        <v/>
      </c>
      <c r="E183" s="6" t="str">
        <f t="shared" si="5"/>
        <v/>
      </c>
    </row>
    <row r="184" spans="1:5" ht="20.25" customHeight="1" x14ac:dyDescent="0.25">
      <c r="A184" s="27"/>
      <c r="B184" s="27"/>
      <c r="C184" s="27"/>
      <c r="D184" s="6" t="str">
        <f t="shared" si="4"/>
        <v/>
      </c>
      <c r="E184" s="6" t="str">
        <f t="shared" si="5"/>
        <v/>
      </c>
    </row>
    <row r="185" spans="1:5" ht="20.25" customHeight="1" x14ac:dyDescent="0.25">
      <c r="A185" s="27"/>
      <c r="B185" s="27"/>
      <c r="C185" s="27"/>
      <c r="D185" s="6" t="str">
        <f t="shared" si="4"/>
        <v/>
      </c>
      <c r="E185" s="6" t="str">
        <f t="shared" si="5"/>
        <v/>
      </c>
    </row>
    <row r="186" spans="1:5" ht="20.25" customHeight="1" x14ac:dyDescent="0.25">
      <c r="A186" s="27"/>
      <c r="B186" s="27"/>
      <c r="C186" s="27"/>
      <c r="D186" s="6" t="str">
        <f t="shared" si="4"/>
        <v/>
      </c>
      <c r="E186" s="6" t="str">
        <f t="shared" si="5"/>
        <v/>
      </c>
    </row>
    <row r="187" spans="1:5" ht="20.25" customHeight="1" x14ac:dyDescent="0.25">
      <c r="A187" s="27"/>
      <c r="B187" s="27"/>
      <c r="C187" s="27"/>
      <c r="D187" s="6" t="str">
        <f t="shared" si="4"/>
        <v/>
      </c>
      <c r="E187" s="6" t="str">
        <f t="shared" si="5"/>
        <v/>
      </c>
    </row>
    <row r="188" spans="1:5" ht="20.25" customHeight="1" x14ac:dyDescent="0.25">
      <c r="A188" s="27"/>
      <c r="B188" s="27"/>
      <c r="C188" s="27"/>
      <c r="D188" s="6" t="str">
        <f t="shared" si="4"/>
        <v/>
      </c>
      <c r="E188" s="6" t="str">
        <f t="shared" si="5"/>
        <v/>
      </c>
    </row>
    <row r="189" spans="1:5" ht="20.25" customHeight="1" x14ac:dyDescent="0.25">
      <c r="A189" s="27"/>
      <c r="B189" s="27"/>
      <c r="C189" s="27"/>
      <c r="D189" s="6" t="str">
        <f t="shared" si="4"/>
        <v/>
      </c>
      <c r="E189" s="6" t="str">
        <f t="shared" si="5"/>
        <v/>
      </c>
    </row>
    <row r="190" spans="1:5" ht="20.25" customHeight="1" x14ac:dyDescent="0.25">
      <c r="A190" s="27"/>
      <c r="B190" s="27"/>
      <c r="C190" s="27"/>
      <c r="D190" s="6" t="str">
        <f t="shared" si="4"/>
        <v/>
      </c>
      <c r="E190" s="6" t="str">
        <f t="shared" si="5"/>
        <v/>
      </c>
    </row>
    <row r="191" spans="1:5" ht="20.25" customHeight="1" x14ac:dyDescent="0.25">
      <c r="A191" s="27"/>
      <c r="B191" s="27"/>
      <c r="C191" s="27"/>
      <c r="D191" s="6" t="str">
        <f t="shared" si="4"/>
        <v/>
      </c>
      <c r="E191" s="6" t="str">
        <f t="shared" si="5"/>
        <v/>
      </c>
    </row>
    <row r="192" spans="1:5" ht="20.25" customHeight="1" x14ac:dyDescent="0.25">
      <c r="A192" s="27"/>
      <c r="B192" s="27"/>
      <c r="C192" s="27"/>
      <c r="D192" s="6" t="str">
        <f t="shared" si="4"/>
        <v/>
      </c>
      <c r="E192" s="6" t="str">
        <f t="shared" si="5"/>
        <v/>
      </c>
    </row>
    <row r="193" spans="1:5" ht="20.25" customHeight="1" x14ac:dyDescent="0.25">
      <c r="A193" s="27"/>
      <c r="B193" s="27"/>
      <c r="C193" s="27"/>
      <c r="D193" s="6" t="str">
        <f t="shared" si="4"/>
        <v/>
      </c>
      <c r="E193" s="6" t="str">
        <f t="shared" si="5"/>
        <v/>
      </c>
    </row>
    <row r="194" spans="1:5" ht="20.25" customHeight="1" x14ac:dyDescent="0.25">
      <c r="A194" s="27"/>
      <c r="B194" s="27"/>
      <c r="C194" s="27"/>
      <c r="D194" s="6" t="str">
        <f t="shared" si="4"/>
        <v/>
      </c>
      <c r="E194" s="6" t="str">
        <f t="shared" si="5"/>
        <v/>
      </c>
    </row>
    <row r="195" spans="1:5" ht="20.25" customHeight="1" x14ac:dyDescent="0.25">
      <c r="A195" s="27"/>
      <c r="B195" s="27"/>
      <c r="C195" s="27"/>
      <c r="D195" s="6" t="str">
        <f t="shared" si="4"/>
        <v/>
      </c>
      <c r="E195" s="6" t="str">
        <f t="shared" si="5"/>
        <v/>
      </c>
    </row>
    <row r="196" spans="1:5" ht="20.25" customHeight="1" x14ac:dyDescent="0.25">
      <c r="A196" s="27"/>
      <c r="B196" s="27"/>
      <c r="C196" s="27"/>
      <c r="D196" s="6" t="str">
        <f t="shared" si="4"/>
        <v/>
      </c>
      <c r="E196" s="6" t="str">
        <f t="shared" si="5"/>
        <v/>
      </c>
    </row>
    <row r="197" spans="1:5" ht="20.25" customHeight="1" x14ac:dyDescent="0.25">
      <c r="A197" s="27"/>
      <c r="B197" s="27"/>
      <c r="C197" s="27"/>
      <c r="D197" s="6" t="str">
        <f t="shared" ref="D197:D260" si="6">IF(C197="","",IF(C197="PRODUCTION","Taxable (T)",IF(C197="PÉDAGOGIE","Non Taxable (NT)",IF(C197="FONCTIONNEMENT GÉNÉRAL","Mutualisé (M)","ERREUR"))))</f>
        <v/>
      </c>
      <c r="E197" s="6" t="str">
        <f t="shared" ref="E197:E260" si="7">IF(C197="","",IF(C197="PRODUCTION","T",IF(C197="PÉDAGOGIE","NT",IF(C197="FONCTIONNEMENT GÉNÉRAL","M","ERREUR"))))</f>
        <v/>
      </c>
    </row>
    <row r="198" spans="1:5" ht="20.25" customHeight="1" x14ac:dyDescent="0.25">
      <c r="A198" s="27"/>
      <c r="B198" s="27"/>
      <c r="C198" s="27"/>
      <c r="D198" s="6" t="str">
        <f t="shared" si="6"/>
        <v/>
      </c>
      <c r="E198" s="6" t="str">
        <f t="shared" si="7"/>
        <v/>
      </c>
    </row>
    <row r="199" spans="1:5" ht="20.25" customHeight="1" x14ac:dyDescent="0.25">
      <c r="A199" s="27"/>
      <c r="B199" s="27"/>
      <c r="C199" s="27"/>
      <c r="D199" s="6" t="str">
        <f t="shared" si="6"/>
        <v/>
      </c>
      <c r="E199" s="6" t="str">
        <f t="shared" si="7"/>
        <v/>
      </c>
    </row>
    <row r="200" spans="1:5" ht="20.25" customHeight="1" x14ac:dyDescent="0.25">
      <c r="A200" s="27"/>
      <c r="B200" s="27"/>
      <c r="C200" s="27"/>
      <c r="D200" s="6" t="str">
        <f t="shared" si="6"/>
        <v/>
      </c>
      <c r="E200" s="6" t="str">
        <f t="shared" si="7"/>
        <v/>
      </c>
    </row>
    <row r="201" spans="1:5" ht="20.25" customHeight="1" x14ac:dyDescent="0.25">
      <c r="A201" s="27"/>
      <c r="B201" s="27"/>
      <c r="C201" s="27"/>
      <c r="D201" s="6" t="str">
        <f t="shared" si="6"/>
        <v/>
      </c>
      <c r="E201" s="6" t="str">
        <f t="shared" si="7"/>
        <v/>
      </c>
    </row>
    <row r="202" spans="1:5" ht="20.25" customHeight="1" x14ac:dyDescent="0.25">
      <c r="A202" s="27"/>
      <c r="B202" s="27"/>
      <c r="C202" s="27"/>
      <c r="D202" s="6" t="str">
        <f t="shared" si="6"/>
        <v/>
      </c>
      <c r="E202" s="6" t="str">
        <f t="shared" si="7"/>
        <v/>
      </c>
    </row>
    <row r="203" spans="1:5" ht="20.25" customHeight="1" x14ac:dyDescent="0.25">
      <c r="A203" s="27"/>
      <c r="B203" s="27"/>
      <c r="C203" s="27"/>
      <c r="D203" s="6" t="str">
        <f t="shared" si="6"/>
        <v/>
      </c>
      <c r="E203" s="6" t="str">
        <f t="shared" si="7"/>
        <v/>
      </c>
    </row>
    <row r="204" spans="1:5" ht="20.25" customHeight="1" x14ac:dyDescent="0.25">
      <c r="A204" s="27"/>
      <c r="B204" s="27"/>
      <c r="C204" s="27"/>
      <c r="D204" s="6" t="str">
        <f t="shared" si="6"/>
        <v/>
      </c>
      <c r="E204" s="6" t="str">
        <f t="shared" si="7"/>
        <v/>
      </c>
    </row>
    <row r="205" spans="1:5" ht="20.25" customHeight="1" x14ac:dyDescent="0.25">
      <c r="A205" s="27"/>
      <c r="B205" s="27"/>
      <c r="C205" s="27"/>
      <c r="D205" s="6" t="str">
        <f t="shared" si="6"/>
        <v/>
      </c>
      <c r="E205" s="6" t="str">
        <f t="shared" si="7"/>
        <v/>
      </c>
    </row>
    <row r="206" spans="1:5" ht="20.25" customHeight="1" x14ac:dyDescent="0.25">
      <c r="A206" s="27"/>
      <c r="B206" s="27"/>
      <c r="C206" s="27"/>
      <c r="D206" s="6" t="str">
        <f t="shared" si="6"/>
        <v/>
      </c>
      <c r="E206" s="6" t="str">
        <f t="shared" si="7"/>
        <v/>
      </c>
    </row>
    <row r="207" spans="1:5" ht="20.25" customHeight="1" x14ac:dyDescent="0.25">
      <c r="A207" s="27"/>
      <c r="B207" s="27"/>
      <c r="C207" s="27"/>
      <c r="D207" s="6" t="str">
        <f t="shared" si="6"/>
        <v/>
      </c>
      <c r="E207" s="6" t="str">
        <f t="shared" si="7"/>
        <v/>
      </c>
    </row>
    <row r="208" spans="1:5" ht="20.25" customHeight="1" x14ac:dyDescent="0.25">
      <c r="A208" s="27"/>
      <c r="B208" s="27"/>
      <c r="C208" s="27"/>
      <c r="D208" s="6" t="str">
        <f t="shared" si="6"/>
        <v/>
      </c>
      <c r="E208" s="6" t="str">
        <f t="shared" si="7"/>
        <v/>
      </c>
    </row>
    <row r="209" spans="1:5" ht="20.25" customHeight="1" x14ac:dyDescent="0.25">
      <c r="A209" s="27"/>
      <c r="B209" s="27"/>
      <c r="C209" s="27"/>
      <c r="D209" s="6" t="str">
        <f t="shared" si="6"/>
        <v/>
      </c>
      <c r="E209" s="6" t="str">
        <f t="shared" si="7"/>
        <v/>
      </c>
    </row>
    <row r="210" spans="1:5" ht="20.25" customHeight="1" x14ac:dyDescent="0.25">
      <c r="A210" s="27"/>
      <c r="B210" s="27"/>
      <c r="C210" s="27"/>
      <c r="D210" s="6" t="str">
        <f t="shared" si="6"/>
        <v/>
      </c>
      <c r="E210" s="6" t="str">
        <f t="shared" si="7"/>
        <v/>
      </c>
    </row>
    <row r="211" spans="1:5" ht="20.25" customHeight="1" x14ac:dyDescent="0.25">
      <c r="A211" s="27"/>
      <c r="B211" s="27"/>
      <c r="C211" s="27"/>
      <c r="D211" s="6" t="str">
        <f t="shared" si="6"/>
        <v/>
      </c>
      <c r="E211" s="6" t="str">
        <f t="shared" si="7"/>
        <v/>
      </c>
    </row>
    <row r="212" spans="1:5" ht="20.25" customHeight="1" x14ac:dyDescent="0.25">
      <c r="A212" s="27"/>
      <c r="B212" s="27"/>
      <c r="C212" s="27"/>
      <c r="D212" s="6" t="str">
        <f t="shared" si="6"/>
        <v/>
      </c>
      <c r="E212" s="6" t="str">
        <f t="shared" si="7"/>
        <v/>
      </c>
    </row>
    <row r="213" spans="1:5" ht="20.25" customHeight="1" x14ac:dyDescent="0.25">
      <c r="A213" s="27"/>
      <c r="B213" s="27"/>
      <c r="C213" s="27"/>
      <c r="D213" s="6" t="str">
        <f t="shared" si="6"/>
        <v/>
      </c>
      <c r="E213" s="6" t="str">
        <f t="shared" si="7"/>
        <v/>
      </c>
    </row>
    <row r="214" spans="1:5" ht="20.25" customHeight="1" x14ac:dyDescent="0.25">
      <c r="A214" s="27"/>
      <c r="B214" s="27"/>
      <c r="C214" s="27"/>
      <c r="D214" s="6" t="str">
        <f t="shared" si="6"/>
        <v/>
      </c>
      <c r="E214" s="6" t="str">
        <f t="shared" si="7"/>
        <v/>
      </c>
    </row>
    <row r="215" spans="1:5" ht="20.25" customHeight="1" x14ac:dyDescent="0.25">
      <c r="A215" s="27"/>
      <c r="B215" s="27"/>
      <c r="C215" s="27"/>
      <c r="D215" s="6" t="str">
        <f t="shared" si="6"/>
        <v/>
      </c>
      <c r="E215" s="6" t="str">
        <f t="shared" si="7"/>
        <v/>
      </c>
    </row>
    <row r="216" spans="1:5" ht="20.25" customHeight="1" x14ac:dyDescent="0.25">
      <c r="A216" s="27"/>
      <c r="B216" s="27"/>
      <c r="C216" s="27"/>
      <c r="D216" s="6" t="str">
        <f t="shared" si="6"/>
        <v/>
      </c>
      <c r="E216" s="6" t="str">
        <f t="shared" si="7"/>
        <v/>
      </c>
    </row>
    <row r="217" spans="1:5" ht="20.25" customHeight="1" x14ac:dyDescent="0.25">
      <c r="A217" s="27"/>
      <c r="B217" s="27"/>
      <c r="C217" s="27"/>
      <c r="D217" s="6" t="str">
        <f t="shared" si="6"/>
        <v/>
      </c>
      <c r="E217" s="6" t="str">
        <f t="shared" si="7"/>
        <v/>
      </c>
    </row>
    <row r="218" spans="1:5" ht="20.25" customHeight="1" x14ac:dyDescent="0.25">
      <c r="A218" s="27"/>
      <c r="B218" s="27"/>
      <c r="C218" s="27"/>
      <c r="D218" s="6" t="str">
        <f t="shared" si="6"/>
        <v/>
      </c>
      <c r="E218" s="6" t="str">
        <f t="shared" si="7"/>
        <v/>
      </c>
    </row>
    <row r="219" spans="1:5" ht="20.25" customHeight="1" x14ac:dyDescent="0.25">
      <c r="A219" s="27"/>
      <c r="B219" s="27"/>
      <c r="C219" s="27"/>
      <c r="D219" s="6" t="str">
        <f t="shared" si="6"/>
        <v/>
      </c>
      <c r="E219" s="6" t="str">
        <f t="shared" si="7"/>
        <v/>
      </c>
    </row>
    <row r="220" spans="1:5" ht="20.25" customHeight="1" x14ac:dyDescent="0.25">
      <c r="A220" s="27"/>
      <c r="B220" s="27"/>
      <c r="C220" s="27"/>
      <c r="D220" s="6" t="str">
        <f t="shared" si="6"/>
        <v/>
      </c>
      <c r="E220" s="6" t="str">
        <f t="shared" si="7"/>
        <v/>
      </c>
    </row>
    <row r="221" spans="1:5" ht="20.25" customHeight="1" x14ac:dyDescent="0.25">
      <c r="A221" s="27"/>
      <c r="B221" s="27"/>
      <c r="C221" s="27"/>
      <c r="D221" s="6" t="str">
        <f t="shared" si="6"/>
        <v/>
      </c>
      <c r="E221" s="6" t="str">
        <f t="shared" si="7"/>
        <v/>
      </c>
    </row>
    <row r="222" spans="1:5" ht="20.25" customHeight="1" x14ac:dyDescent="0.25">
      <c r="A222" s="27"/>
      <c r="B222" s="27"/>
      <c r="C222" s="27"/>
      <c r="D222" s="6" t="str">
        <f t="shared" si="6"/>
        <v/>
      </c>
      <c r="E222" s="6" t="str">
        <f t="shared" si="7"/>
        <v/>
      </c>
    </row>
    <row r="223" spans="1:5" ht="20.25" customHeight="1" x14ac:dyDescent="0.25">
      <c r="A223" s="27"/>
      <c r="B223" s="27"/>
      <c r="C223" s="27"/>
      <c r="D223" s="6" t="str">
        <f t="shared" si="6"/>
        <v/>
      </c>
      <c r="E223" s="6" t="str">
        <f t="shared" si="7"/>
        <v/>
      </c>
    </row>
    <row r="224" spans="1:5" ht="20.25" customHeight="1" x14ac:dyDescent="0.25">
      <c r="A224" s="27"/>
      <c r="B224" s="27"/>
      <c r="C224" s="27"/>
      <c r="D224" s="6" t="str">
        <f t="shared" si="6"/>
        <v/>
      </c>
      <c r="E224" s="6" t="str">
        <f t="shared" si="7"/>
        <v/>
      </c>
    </row>
    <row r="225" spans="1:5" ht="20.25" customHeight="1" x14ac:dyDescent="0.25">
      <c r="A225" s="27"/>
      <c r="B225" s="27"/>
      <c r="C225" s="27"/>
      <c r="D225" s="6" t="str">
        <f t="shared" si="6"/>
        <v/>
      </c>
      <c r="E225" s="6" t="str">
        <f t="shared" si="7"/>
        <v/>
      </c>
    </row>
    <row r="226" spans="1:5" ht="20.25" customHeight="1" x14ac:dyDescent="0.25">
      <c r="A226" s="27"/>
      <c r="B226" s="27"/>
      <c r="C226" s="27"/>
      <c r="D226" s="6" t="str">
        <f t="shared" si="6"/>
        <v/>
      </c>
      <c r="E226" s="6" t="str">
        <f t="shared" si="7"/>
        <v/>
      </c>
    </row>
    <row r="227" spans="1:5" ht="20.25" customHeight="1" x14ac:dyDescent="0.25">
      <c r="A227" s="27"/>
      <c r="B227" s="27"/>
      <c r="C227" s="27"/>
      <c r="D227" s="6" t="str">
        <f t="shared" si="6"/>
        <v/>
      </c>
      <c r="E227" s="6" t="str">
        <f t="shared" si="7"/>
        <v/>
      </c>
    </row>
    <row r="228" spans="1:5" ht="20.25" customHeight="1" x14ac:dyDescent="0.25">
      <c r="A228" s="27"/>
      <c r="B228" s="27"/>
      <c r="C228" s="27"/>
      <c r="D228" s="6" t="str">
        <f t="shared" si="6"/>
        <v/>
      </c>
      <c r="E228" s="6" t="str">
        <f t="shared" si="7"/>
        <v/>
      </c>
    </row>
    <row r="229" spans="1:5" ht="20.25" customHeight="1" x14ac:dyDescent="0.25">
      <c r="A229" s="27"/>
      <c r="B229" s="27"/>
      <c r="C229" s="27"/>
      <c r="D229" s="6" t="str">
        <f t="shared" si="6"/>
        <v/>
      </c>
      <c r="E229" s="6" t="str">
        <f t="shared" si="7"/>
        <v/>
      </c>
    </row>
    <row r="230" spans="1:5" ht="20.25" customHeight="1" x14ac:dyDescent="0.25">
      <c r="A230" s="27"/>
      <c r="B230" s="27"/>
      <c r="C230" s="27"/>
      <c r="D230" s="6" t="str">
        <f t="shared" si="6"/>
        <v/>
      </c>
      <c r="E230" s="6" t="str">
        <f t="shared" si="7"/>
        <v/>
      </c>
    </row>
    <row r="231" spans="1:5" ht="20.25" customHeight="1" x14ac:dyDescent="0.25">
      <c r="A231" s="27"/>
      <c r="B231" s="27"/>
      <c r="C231" s="27"/>
      <c r="D231" s="6" t="str">
        <f t="shared" si="6"/>
        <v/>
      </c>
      <c r="E231" s="6" t="str">
        <f t="shared" si="7"/>
        <v/>
      </c>
    </row>
    <row r="232" spans="1:5" ht="20.25" customHeight="1" x14ac:dyDescent="0.25">
      <c r="A232" s="27"/>
      <c r="B232" s="27"/>
      <c r="C232" s="27"/>
      <c r="D232" s="6" t="str">
        <f t="shared" si="6"/>
        <v/>
      </c>
      <c r="E232" s="6" t="str">
        <f t="shared" si="7"/>
        <v/>
      </c>
    </row>
    <row r="233" spans="1:5" ht="20.25" customHeight="1" x14ac:dyDescent="0.25">
      <c r="A233" s="27"/>
      <c r="B233" s="27"/>
      <c r="C233" s="27"/>
      <c r="D233" s="6" t="str">
        <f t="shared" si="6"/>
        <v/>
      </c>
      <c r="E233" s="6" t="str">
        <f t="shared" si="7"/>
        <v/>
      </c>
    </row>
    <row r="234" spans="1:5" ht="20.25" customHeight="1" x14ac:dyDescent="0.25">
      <c r="A234" s="27"/>
      <c r="B234" s="27"/>
      <c r="C234" s="27"/>
      <c r="D234" s="6" t="str">
        <f t="shared" si="6"/>
        <v/>
      </c>
      <c r="E234" s="6" t="str">
        <f t="shared" si="7"/>
        <v/>
      </c>
    </row>
    <row r="235" spans="1:5" ht="20.25" customHeight="1" x14ac:dyDescent="0.25">
      <c r="A235" s="27"/>
      <c r="B235" s="27"/>
      <c r="C235" s="27"/>
      <c r="D235" s="6" t="str">
        <f t="shared" si="6"/>
        <v/>
      </c>
      <c r="E235" s="6" t="str">
        <f t="shared" si="7"/>
        <v/>
      </c>
    </row>
    <row r="236" spans="1:5" ht="20.25" customHeight="1" x14ac:dyDescent="0.25">
      <c r="A236" s="27"/>
      <c r="B236" s="27"/>
      <c r="C236" s="27"/>
      <c r="D236" s="6" t="str">
        <f t="shared" si="6"/>
        <v/>
      </c>
      <c r="E236" s="6" t="str">
        <f t="shared" si="7"/>
        <v/>
      </c>
    </row>
    <row r="237" spans="1:5" ht="20.25" customHeight="1" x14ac:dyDescent="0.25">
      <c r="A237" s="27"/>
      <c r="B237" s="27"/>
      <c r="C237" s="27"/>
      <c r="D237" s="6" t="str">
        <f t="shared" si="6"/>
        <v/>
      </c>
      <c r="E237" s="6" t="str">
        <f t="shared" si="7"/>
        <v/>
      </c>
    </row>
    <row r="238" spans="1:5" ht="20.25" customHeight="1" x14ac:dyDescent="0.25">
      <c r="A238" s="27"/>
      <c r="B238" s="27"/>
      <c r="C238" s="27"/>
      <c r="D238" s="6" t="str">
        <f t="shared" si="6"/>
        <v/>
      </c>
      <c r="E238" s="6" t="str">
        <f t="shared" si="7"/>
        <v/>
      </c>
    </row>
    <row r="239" spans="1:5" ht="20.25" customHeight="1" x14ac:dyDescent="0.25">
      <c r="A239" s="27"/>
      <c r="B239" s="27"/>
      <c r="C239" s="27"/>
      <c r="D239" s="6" t="str">
        <f t="shared" si="6"/>
        <v/>
      </c>
      <c r="E239" s="6" t="str">
        <f t="shared" si="7"/>
        <v/>
      </c>
    </row>
    <row r="240" spans="1:5" ht="20.25" customHeight="1" x14ac:dyDescent="0.25">
      <c r="A240" s="27"/>
      <c r="B240" s="27"/>
      <c r="C240" s="27"/>
      <c r="D240" s="6" t="str">
        <f t="shared" si="6"/>
        <v/>
      </c>
      <c r="E240" s="6" t="str">
        <f t="shared" si="7"/>
        <v/>
      </c>
    </row>
    <row r="241" spans="1:5" ht="20.25" customHeight="1" x14ac:dyDescent="0.25">
      <c r="A241" s="27"/>
      <c r="B241" s="27"/>
      <c r="C241" s="27"/>
      <c r="D241" s="6" t="str">
        <f t="shared" si="6"/>
        <v/>
      </c>
      <c r="E241" s="6" t="str">
        <f t="shared" si="7"/>
        <v/>
      </c>
    </row>
    <row r="242" spans="1:5" ht="20.25" customHeight="1" x14ac:dyDescent="0.25">
      <c r="A242" s="27"/>
      <c r="B242" s="27"/>
      <c r="C242" s="27"/>
      <c r="D242" s="6" t="str">
        <f t="shared" si="6"/>
        <v/>
      </c>
      <c r="E242" s="6" t="str">
        <f t="shared" si="7"/>
        <v/>
      </c>
    </row>
    <row r="243" spans="1:5" ht="20.25" customHeight="1" x14ac:dyDescent="0.25">
      <c r="A243" s="27"/>
      <c r="B243" s="27"/>
      <c r="C243" s="27"/>
      <c r="D243" s="6" t="str">
        <f t="shared" si="6"/>
        <v/>
      </c>
      <c r="E243" s="6" t="str">
        <f t="shared" si="7"/>
        <v/>
      </c>
    </row>
    <row r="244" spans="1:5" ht="20.25" customHeight="1" x14ac:dyDescent="0.25">
      <c r="A244" s="27"/>
      <c r="B244" s="27"/>
      <c r="C244" s="27"/>
      <c r="D244" s="6" t="str">
        <f t="shared" si="6"/>
        <v/>
      </c>
      <c r="E244" s="6" t="str">
        <f t="shared" si="7"/>
        <v/>
      </c>
    </row>
    <row r="245" spans="1:5" ht="20.25" customHeight="1" x14ac:dyDescent="0.25">
      <c r="A245" s="27"/>
      <c r="B245" s="27"/>
      <c r="C245" s="27"/>
      <c r="D245" s="6" t="str">
        <f t="shared" si="6"/>
        <v/>
      </c>
      <c r="E245" s="6" t="str">
        <f t="shared" si="7"/>
        <v/>
      </c>
    </row>
    <row r="246" spans="1:5" ht="20.25" customHeight="1" x14ac:dyDescent="0.25">
      <c r="A246" s="27"/>
      <c r="B246" s="27"/>
      <c r="C246" s="27"/>
      <c r="D246" s="6" t="str">
        <f t="shared" si="6"/>
        <v/>
      </c>
      <c r="E246" s="6" t="str">
        <f t="shared" si="7"/>
        <v/>
      </c>
    </row>
    <row r="247" spans="1:5" ht="20.25" customHeight="1" x14ac:dyDescent="0.25">
      <c r="A247" s="27"/>
      <c r="B247" s="27"/>
      <c r="C247" s="27"/>
      <c r="D247" s="6" t="str">
        <f t="shared" si="6"/>
        <v/>
      </c>
      <c r="E247" s="6" t="str">
        <f t="shared" si="7"/>
        <v/>
      </c>
    </row>
    <row r="248" spans="1:5" ht="20.25" customHeight="1" x14ac:dyDescent="0.25">
      <c r="A248" s="27"/>
      <c r="B248" s="27"/>
      <c r="C248" s="27"/>
      <c r="D248" s="6" t="str">
        <f t="shared" si="6"/>
        <v/>
      </c>
      <c r="E248" s="6" t="str">
        <f t="shared" si="7"/>
        <v/>
      </c>
    </row>
    <row r="249" spans="1:5" ht="20.25" customHeight="1" x14ac:dyDescent="0.25">
      <c r="A249" s="27"/>
      <c r="B249" s="27"/>
      <c r="C249" s="27"/>
      <c r="D249" s="6" t="str">
        <f t="shared" si="6"/>
        <v/>
      </c>
      <c r="E249" s="6" t="str">
        <f t="shared" si="7"/>
        <v/>
      </c>
    </row>
    <row r="250" spans="1:5" ht="20.25" customHeight="1" x14ac:dyDescent="0.25">
      <c r="A250" s="27"/>
      <c r="B250" s="27"/>
      <c r="C250" s="27"/>
      <c r="D250" s="6" t="str">
        <f t="shared" si="6"/>
        <v/>
      </c>
      <c r="E250" s="6" t="str">
        <f t="shared" si="7"/>
        <v/>
      </c>
    </row>
    <row r="251" spans="1:5" ht="20.25" customHeight="1" x14ac:dyDescent="0.25">
      <c r="A251" s="27"/>
      <c r="B251" s="27"/>
      <c r="C251" s="27"/>
      <c r="D251" s="6" t="str">
        <f t="shared" si="6"/>
        <v/>
      </c>
      <c r="E251" s="6" t="str">
        <f t="shared" si="7"/>
        <v/>
      </c>
    </row>
    <row r="252" spans="1:5" ht="20.25" customHeight="1" x14ac:dyDescent="0.25">
      <c r="A252" s="27"/>
      <c r="B252" s="27"/>
      <c r="C252" s="27"/>
      <c r="D252" s="6" t="str">
        <f t="shared" si="6"/>
        <v/>
      </c>
      <c r="E252" s="6" t="str">
        <f t="shared" si="7"/>
        <v/>
      </c>
    </row>
    <row r="253" spans="1:5" ht="20.25" customHeight="1" x14ac:dyDescent="0.25">
      <c r="A253" s="27"/>
      <c r="B253" s="27"/>
      <c r="C253" s="27"/>
      <c r="D253" s="6" t="str">
        <f t="shared" si="6"/>
        <v/>
      </c>
      <c r="E253" s="6" t="str">
        <f t="shared" si="7"/>
        <v/>
      </c>
    </row>
    <row r="254" spans="1:5" ht="20.25" customHeight="1" x14ac:dyDescent="0.25">
      <c r="A254" s="27"/>
      <c r="B254" s="27"/>
      <c r="C254" s="27"/>
      <c r="D254" s="6" t="str">
        <f t="shared" si="6"/>
        <v/>
      </c>
      <c r="E254" s="6" t="str">
        <f t="shared" si="7"/>
        <v/>
      </c>
    </row>
    <row r="255" spans="1:5" ht="20.25" customHeight="1" x14ac:dyDescent="0.25">
      <c r="A255" s="27"/>
      <c r="B255" s="27"/>
      <c r="C255" s="27"/>
      <c r="D255" s="6" t="str">
        <f t="shared" si="6"/>
        <v/>
      </c>
      <c r="E255" s="6" t="str">
        <f t="shared" si="7"/>
        <v/>
      </c>
    </row>
    <row r="256" spans="1:5" ht="20.25" customHeight="1" x14ac:dyDescent="0.25">
      <c r="A256" s="27"/>
      <c r="B256" s="27"/>
      <c r="C256" s="27"/>
      <c r="D256" s="6" t="str">
        <f t="shared" si="6"/>
        <v/>
      </c>
      <c r="E256" s="6" t="str">
        <f t="shared" si="7"/>
        <v/>
      </c>
    </row>
    <row r="257" spans="1:5" ht="20.25" customHeight="1" x14ac:dyDescent="0.25">
      <c r="A257" s="27"/>
      <c r="B257" s="27"/>
      <c r="C257" s="27"/>
      <c r="D257" s="6" t="str">
        <f t="shared" si="6"/>
        <v/>
      </c>
      <c r="E257" s="6" t="str">
        <f t="shared" si="7"/>
        <v/>
      </c>
    </row>
    <row r="258" spans="1:5" ht="20.25" customHeight="1" x14ac:dyDescent="0.25">
      <c r="A258" s="27"/>
      <c r="B258" s="27"/>
      <c r="C258" s="27"/>
      <c r="D258" s="6" t="str">
        <f t="shared" si="6"/>
        <v/>
      </c>
      <c r="E258" s="6" t="str">
        <f t="shared" si="7"/>
        <v/>
      </c>
    </row>
    <row r="259" spans="1:5" ht="20.25" customHeight="1" x14ac:dyDescent="0.25">
      <c r="A259" s="27"/>
      <c r="B259" s="27"/>
      <c r="C259" s="27"/>
      <c r="D259" s="6" t="str">
        <f t="shared" si="6"/>
        <v/>
      </c>
      <c r="E259" s="6" t="str">
        <f t="shared" si="7"/>
        <v/>
      </c>
    </row>
    <row r="260" spans="1:5" ht="20.25" customHeight="1" x14ac:dyDescent="0.25">
      <c r="A260" s="27"/>
      <c r="B260" s="27"/>
      <c r="C260" s="27"/>
      <c r="D260" s="6" t="str">
        <f t="shared" si="6"/>
        <v/>
      </c>
      <c r="E260" s="6" t="str">
        <f t="shared" si="7"/>
        <v/>
      </c>
    </row>
    <row r="261" spans="1:5" ht="20.25" customHeight="1" x14ac:dyDescent="0.25">
      <c r="A261" s="27"/>
      <c r="B261" s="27"/>
      <c r="C261" s="27"/>
      <c r="D261" s="6" t="str">
        <f t="shared" ref="D261:D324" si="8">IF(C261="","",IF(C261="PRODUCTION","Taxable (T)",IF(C261="PÉDAGOGIE","Non Taxable (NT)",IF(C261="FONCTIONNEMENT GÉNÉRAL","Mutualisé (M)","ERREUR"))))</f>
        <v/>
      </c>
      <c r="E261" s="6" t="str">
        <f t="shared" ref="E261:E324" si="9">IF(C261="","",IF(C261="PRODUCTION","T",IF(C261="PÉDAGOGIE","NT",IF(C261="FONCTIONNEMENT GÉNÉRAL","M","ERREUR"))))</f>
        <v/>
      </c>
    </row>
    <row r="262" spans="1:5" ht="20.25" customHeight="1" x14ac:dyDescent="0.25">
      <c r="A262" s="27"/>
      <c r="B262" s="27"/>
      <c r="C262" s="27"/>
      <c r="D262" s="6" t="str">
        <f t="shared" si="8"/>
        <v/>
      </c>
      <c r="E262" s="6" t="str">
        <f t="shared" si="9"/>
        <v/>
      </c>
    </row>
    <row r="263" spans="1:5" ht="20.25" customHeight="1" x14ac:dyDescent="0.25">
      <c r="A263" s="27"/>
      <c r="B263" s="27"/>
      <c r="C263" s="27"/>
      <c r="D263" s="6" t="str">
        <f t="shared" si="8"/>
        <v/>
      </c>
      <c r="E263" s="6" t="str">
        <f t="shared" si="9"/>
        <v/>
      </c>
    </row>
    <row r="264" spans="1:5" ht="20.25" customHeight="1" x14ac:dyDescent="0.25">
      <c r="A264" s="27"/>
      <c r="B264" s="27"/>
      <c r="C264" s="27"/>
      <c r="D264" s="6" t="str">
        <f t="shared" si="8"/>
        <v/>
      </c>
      <c r="E264" s="6" t="str">
        <f t="shared" si="9"/>
        <v/>
      </c>
    </row>
    <row r="265" spans="1:5" ht="20.25" customHeight="1" x14ac:dyDescent="0.25">
      <c r="A265" s="27"/>
      <c r="B265" s="27"/>
      <c r="C265" s="27"/>
      <c r="D265" s="6" t="str">
        <f t="shared" si="8"/>
        <v/>
      </c>
      <c r="E265" s="6" t="str">
        <f t="shared" si="9"/>
        <v/>
      </c>
    </row>
    <row r="266" spans="1:5" ht="20.25" customHeight="1" x14ac:dyDescent="0.25">
      <c r="A266" s="27"/>
      <c r="B266" s="27"/>
      <c r="C266" s="27"/>
      <c r="D266" s="6" t="str">
        <f t="shared" si="8"/>
        <v/>
      </c>
      <c r="E266" s="6" t="str">
        <f t="shared" si="9"/>
        <v/>
      </c>
    </row>
    <row r="267" spans="1:5" ht="20.25" customHeight="1" x14ac:dyDescent="0.25">
      <c r="A267" s="27"/>
      <c r="B267" s="27"/>
      <c r="C267" s="27"/>
      <c r="D267" s="6" t="str">
        <f t="shared" si="8"/>
        <v/>
      </c>
      <c r="E267" s="6" t="str">
        <f t="shared" si="9"/>
        <v/>
      </c>
    </row>
    <row r="268" spans="1:5" ht="20.25" customHeight="1" x14ac:dyDescent="0.25">
      <c r="A268" s="27"/>
      <c r="B268" s="27"/>
      <c r="C268" s="27"/>
      <c r="D268" s="6" t="str">
        <f t="shared" si="8"/>
        <v/>
      </c>
      <c r="E268" s="6" t="str">
        <f t="shared" si="9"/>
        <v/>
      </c>
    </row>
    <row r="269" spans="1:5" ht="20.25" customHeight="1" x14ac:dyDescent="0.25">
      <c r="A269" s="27"/>
      <c r="B269" s="27"/>
      <c r="C269" s="27"/>
      <c r="D269" s="6" t="str">
        <f t="shared" si="8"/>
        <v/>
      </c>
      <c r="E269" s="6" t="str">
        <f t="shared" si="9"/>
        <v/>
      </c>
    </row>
    <row r="270" spans="1:5" ht="20.25" customHeight="1" x14ac:dyDescent="0.25">
      <c r="A270" s="27"/>
      <c r="B270" s="27"/>
      <c r="C270" s="27"/>
      <c r="D270" s="6" t="str">
        <f t="shared" si="8"/>
        <v/>
      </c>
      <c r="E270" s="6" t="str">
        <f t="shared" si="9"/>
        <v/>
      </c>
    </row>
    <row r="271" spans="1:5" ht="20.25" customHeight="1" x14ac:dyDescent="0.25">
      <c r="A271" s="27"/>
      <c r="B271" s="27"/>
      <c r="C271" s="27"/>
      <c r="D271" s="6" t="str">
        <f t="shared" si="8"/>
        <v/>
      </c>
      <c r="E271" s="6" t="str">
        <f t="shared" si="9"/>
        <v/>
      </c>
    </row>
    <row r="272" spans="1:5" ht="20.25" customHeight="1" x14ac:dyDescent="0.25">
      <c r="A272" s="27"/>
      <c r="B272" s="27"/>
      <c r="C272" s="27"/>
      <c r="D272" s="6" t="str">
        <f t="shared" si="8"/>
        <v/>
      </c>
      <c r="E272" s="6" t="str">
        <f t="shared" si="9"/>
        <v/>
      </c>
    </row>
    <row r="273" spans="1:5" ht="20.25" customHeight="1" x14ac:dyDescent="0.25">
      <c r="A273" s="27"/>
      <c r="B273" s="27"/>
      <c r="C273" s="27"/>
      <c r="D273" s="6" t="str">
        <f t="shared" si="8"/>
        <v/>
      </c>
      <c r="E273" s="6" t="str">
        <f t="shared" si="9"/>
        <v/>
      </c>
    </row>
    <row r="274" spans="1:5" ht="20.25" customHeight="1" x14ac:dyDescent="0.25">
      <c r="A274" s="27"/>
      <c r="B274" s="27"/>
      <c r="C274" s="27"/>
      <c r="D274" s="6" t="str">
        <f t="shared" si="8"/>
        <v/>
      </c>
      <c r="E274" s="6" t="str">
        <f t="shared" si="9"/>
        <v/>
      </c>
    </row>
    <row r="275" spans="1:5" ht="20.25" customHeight="1" x14ac:dyDescent="0.25">
      <c r="A275" s="27"/>
      <c r="B275" s="27"/>
      <c r="C275" s="27"/>
      <c r="D275" s="6" t="str">
        <f t="shared" si="8"/>
        <v/>
      </c>
      <c r="E275" s="6" t="str">
        <f t="shared" si="9"/>
        <v/>
      </c>
    </row>
    <row r="276" spans="1:5" ht="20.25" customHeight="1" x14ac:dyDescent="0.25">
      <c r="A276" s="27"/>
      <c r="B276" s="27"/>
      <c r="C276" s="27"/>
      <c r="D276" s="6" t="str">
        <f t="shared" si="8"/>
        <v/>
      </c>
      <c r="E276" s="6" t="str">
        <f t="shared" si="9"/>
        <v/>
      </c>
    </row>
    <row r="277" spans="1:5" ht="20.25" customHeight="1" x14ac:dyDescent="0.25">
      <c r="A277" s="27"/>
      <c r="B277" s="27"/>
      <c r="C277" s="27"/>
      <c r="D277" s="6" t="str">
        <f t="shared" si="8"/>
        <v/>
      </c>
      <c r="E277" s="6" t="str">
        <f t="shared" si="9"/>
        <v/>
      </c>
    </row>
    <row r="278" spans="1:5" ht="20.25" customHeight="1" x14ac:dyDescent="0.25">
      <c r="A278" s="27"/>
      <c r="B278" s="27"/>
      <c r="C278" s="27"/>
      <c r="D278" s="6" t="str">
        <f t="shared" si="8"/>
        <v/>
      </c>
      <c r="E278" s="6" t="str">
        <f t="shared" si="9"/>
        <v/>
      </c>
    </row>
    <row r="279" spans="1:5" ht="20.25" customHeight="1" x14ac:dyDescent="0.25">
      <c r="A279" s="27"/>
      <c r="B279" s="27"/>
      <c r="C279" s="27"/>
      <c r="D279" s="6" t="str">
        <f t="shared" si="8"/>
        <v/>
      </c>
      <c r="E279" s="6" t="str">
        <f t="shared" si="9"/>
        <v/>
      </c>
    </row>
    <row r="280" spans="1:5" ht="20.25" customHeight="1" x14ac:dyDescent="0.25">
      <c r="A280" s="27"/>
      <c r="B280" s="27"/>
      <c r="C280" s="27"/>
      <c r="D280" s="6" t="str">
        <f t="shared" si="8"/>
        <v/>
      </c>
      <c r="E280" s="6" t="str">
        <f t="shared" si="9"/>
        <v/>
      </c>
    </row>
    <row r="281" spans="1:5" ht="20.25" customHeight="1" x14ac:dyDescent="0.25">
      <c r="A281" s="27"/>
      <c r="B281" s="27"/>
      <c r="C281" s="27"/>
      <c r="D281" s="6" t="str">
        <f t="shared" si="8"/>
        <v/>
      </c>
      <c r="E281" s="6" t="str">
        <f t="shared" si="9"/>
        <v/>
      </c>
    </row>
    <row r="282" spans="1:5" ht="20.25" customHeight="1" x14ac:dyDescent="0.25">
      <c r="A282" s="27"/>
      <c r="B282" s="27"/>
      <c r="C282" s="27"/>
      <c r="D282" s="6" t="str">
        <f t="shared" si="8"/>
        <v/>
      </c>
      <c r="E282" s="6" t="str">
        <f t="shared" si="9"/>
        <v/>
      </c>
    </row>
    <row r="283" spans="1:5" ht="20.25" customHeight="1" x14ac:dyDescent="0.25">
      <c r="A283" s="27"/>
      <c r="B283" s="27"/>
      <c r="C283" s="27"/>
      <c r="D283" s="6" t="str">
        <f t="shared" si="8"/>
        <v/>
      </c>
      <c r="E283" s="6" t="str">
        <f t="shared" si="9"/>
        <v/>
      </c>
    </row>
    <row r="284" spans="1:5" ht="20.25" customHeight="1" x14ac:dyDescent="0.25">
      <c r="A284" s="27"/>
      <c r="B284" s="27"/>
      <c r="C284" s="27"/>
      <c r="D284" s="6" t="str">
        <f t="shared" si="8"/>
        <v/>
      </c>
      <c r="E284" s="6" t="str">
        <f t="shared" si="9"/>
        <v/>
      </c>
    </row>
    <row r="285" spans="1:5" ht="20.25" customHeight="1" x14ac:dyDescent="0.25">
      <c r="A285" s="27"/>
      <c r="B285" s="27"/>
      <c r="C285" s="27"/>
      <c r="D285" s="6" t="str">
        <f t="shared" si="8"/>
        <v/>
      </c>
      <c r="E285" s="6" t="str">
        <f t="shared" si="9"/>
        <v/>
      </c>
    </row>
    <row r="286" spans="1:5" ht="20.25" customHeight="1" x14ac:dyDescent="0.25">
      <c r="A286" s="27"/>
      <c r="B286" s="27"/>
      <c r="C286" s="27"/>
      <c r="D286" s="6" t="str">
        <f t="shared" si="8"/>
        <v/>
      </c>
      <c r="E286" s="6" t="str">
        <f t="shared" si="9"/>
        <v/>
      </c>
    </row>
    <row r="287" spans="1:5" ht="20.25" customHeight="1" x14ac:dyDescent="0.25">
      <c r="A287" s="27"/>
      <c r="B287" s="27"/>
      <c r="C287" s="27"/>
      <c r="D287" s="6" t="str">
        <f t="shared" si="8"/>
        <v/>
      </c>
      <c r="E287" s="6" t="str">
        <f t="shared" si="9"/>
        <v/>
      </c>
    </row>
    <row r="288" spans="1:5" ht="20.25" customHeight="1" x14ac:dyDescent="0.25">
      <c r="A288" s="27"/>
      <c r="B288" s="27"/>
      <c r="C288" s="27"/>
      <c r="D288" s="6" t="str">
        <f t="shared" si="8"/>
        <v/>
      </c>
      <c r="E288" s="6" t="str">
        <f t="shared" si="9"/>
        <v/>
      </c>
    </row>
    <row r="289" spans="1:5" ht="20.25" customHeight="1" x14ac:dyDescent="0.25">
      <c r="A289" s="27"/>
      <c r="B289" s="27"/>
      <c r="C289" s="27"/>
      <c r="D289" s="6" t="str">
        <f t="shared" si="8"/>
        <v/>
      </c>
      <c r="E289" s="6" t="str">
        <f t="shared" si="9"/>
        <v/>
      </c>
    </row>
    <row r="290" spans="1:5" ht="20.25" customHeight="1" x14ac:dyDescent="0.25">
      <c r="A290" s="27"/>
      <c r="B290" s="27"/>
      <c r="C290" s="27"/>
      <c r="D290" s="6" t="str">
        <f t="shared" si="8"/>
        <v/>
      </c>
      <c r="E290" s="6" t="str">
        <f t="shared" si="9"/>
        <v/>
      </c>
    </row>
    <row r="291" spans="1:5" ht="20.25" customHeight="1" x14ac:dyDescent="0.25">
      <c r="A291" s="27"/>
      <c r="B291" s="27"/>
      <c r="C291" s="27"/>
      <c r="D291" s="6" t="str">
        <f t="shared" si="8"/>
        <v/>
      </c>
      <c r="E291" s="6" t="str">
        <f t="shared" si="9"/>
        <v/>
      </c>
    </row>
    <row r="292" spans="1:5" ht="20.25" customHeight="1" x14ac:dyDescent="0.25">
      <c r="A292" s="27"/>
      <c r="B292" s="27"/>
      <c r="C292" s="27"/>
      <c r="D292" s="6" t="str">
        <f t="shared" si="8"/>
        <v/>
      </c>
      <c r="E292" s="6" t="str">
        <f t="shared" si="9"/>
        <v/>
      </c>
    </row>
    <row r="293" spans="1:5" ht="20.25" customHeight="1" x14ac:dyDescent="0.25">
      <c r="A293" s="27"/>
      <c r="B293" s="27"/>
      <c r="C293" s="27"/>
      <c r="D293" s="6" t="str">
        <f t="shared" si="8"/>
        <v/>
      </c>
      <c r="E293" s="6" t="str">
        <f t="shared" si="9"/>
        <v/>
      </c>
    </row>
    <row r="294" spans="1:5" ht="20.25" customHeight="1" x14ac:dyDescent="0.25">
      <c r="A294" s="27"/>
      <c r="B294" s="27"/>
      <c r="C294" s="27"/>
      <c r="D294" s="6" t="str">
        <f t="shared" si="8"/>
        <v/>
      </c>
      <c r="E294" s="6" t="str">
        <f t="shared" si="9"/>
        <v/>
      </c>
    </row>
    <row r="295" spans="1:5" ht="20.25" customHeight="1" x14ac:dyDescent="0.25">
      <c r="A295" s="27"/>
      <c r="B295" s="27"/>
      <c r="C295" s="27"/>
      <c r="D295" s="6" t="str">
        <f t="shared" si="8"/>
        <v/>
      </c>
      <c r="E295" s="6" t="str">
        <f t="shared" si="9"/>
        <v/>
      </c>
    </row>
    <row r="296" spans="1:5" ht="20.25" customHeight="1" x14ac:dyDescent="0.25">
      <c r="A296" s="27"/>
      <c r="B296" s="27"/>
      <c r="C296" s="27"/>
      <c r="D296" s="6" t="str">
        <f t="shared" si="8"/>
        <v/>
      </c>
      <c r="E296" s="6" t="str">
        <f t="shared" si="9"/>
        <v/>
      </c>
    </row>
    <row r="297" spans="1:5" ht="20.25" customHeight="1" x14ac:dyDescent="0.25">
      <c r="A297" s="27"/>
      <c r="B297" s="27"/>
      <c r="C297" s="27"/>
      <c r="D297" s="6" t="str">
        <f t="shared" si="8"/>
        <v/>
      </c>
      <c r="E297" s="6" t="str">
        <f t="shared" si="9"/>
        <v/>
      </c>
    </row>
    <row r="298" spans="1:5" ht="20.25" customHeight="1" x14ac:dyDescent="0.25">
      <c r="A298" s="27"/>
      <c r="B298" s="27"/>
      <c r="C298" s="27"/>
      <c r="D298" s="6" t="str">
        <f t="shared" si="8"/>
        <v/>
      </c>
      <c r="E298" s="6" t="str">
        <f t="shared" si="9"/>
        <v/>
      </c>
    </row>
    <row r="299" spans="1:5" ht="20.25" customHeight="1" x14ac:dyDescent="0.25">
      <c r="A299" s="27"/>
      <c r="B299" s="27"/>
      <c r="C299" s="27"/>
      <c r="D299" s="6" t="str">
        <f t="shared" si="8"/>
        <v/>
      </c>
      <c r="E299" s="6" t="str">
        <f t="shared" si="9"/>
        <v/>
      </c>
    </row>
    <row r="300" spans="1:5" ht="20.25" customHeight="1" x14ac:dyDescent="0.25">
      <c r="A300" s="27"/>
      <c r="B300" s="27"/>
      <c r="C300" s="27"/>
      <c r="D300" s="6" t="str">
        <f t="shared" si="8"/>
        <v/>
      </c>
      <c r="E300" s="6" t="str">
        <f t="shared" si="9"/>
        <v/>
      </c>
    </row>
    <row r="301" spans="1:5" ht="20.25" customHeight="1" x14ac:dyDescent="0.25">
      <c r="A301" s="27"/>
      <c r="B301" s="27"/>
      <c r="C301" s="27"/>
      <c r="D301" s="6" t="str">
        <f t="shared" si="8"/>
        <v/>
      </c>
      <c r="E301" s="6" t="str">
        <f t="shared" si="9"/>
        <v/>
      </c>
    </row>
    <row r="302" spans="1:5" ht="20.25" customHeight="1" x14ac:dyDescent="0.25">
      <c r="A302" s="27"/>
      <c r="B302" s="27"/>
      <c r="C302" s="27"/>
      <c r="D302" s="6" t="str">
        <f t="shared" si="8"/>
        <v/>
      </c>
      <c r="E302" s="6" t="str">
        <f t="shared" si="9"/>
        <v/>
      </c>
    </row>
    <row r="303" spans="1:5" ht="20.25" customHeight="1" x14ac:dyDescent="0.25">
      <c r="A303" s="27"/>
      <c r="B303" s="27"/>
      <c r="C303" s="27"/>
      <c r="D303" s="6" t="str">
        <f t="shared" si="8"/>
        <v/>
      </c>
      <c r="E303" s="6" t="str">
        <f t="shared" si="9"/>
        <v/>
      </c>
    </row>
    <row r="304" spans="1:5" ht="20.25" customHeight="1" x14ac:dyDescent="0.25">
      <c r="A304" s="27"/>
      <c r="B304" s="27"/>
      <c r="C304" s="27"/>
      <c r="D304" s="6" t="str">
        <f t="shared" si="8"/>
        <v/>
      </c>
      <c r="E304" s="6" t="str">
        <f t="shared" si="9"/>
        <v/>
      </c>
    </row>
    <row r="305" spans="1:5" ht="20.25" customHeight="1" x14ac:dyDescent="0.25">
      <c r="A305" s="27"/>
      <c r="B305" s="27"/>
      <c r="C305" s="27"/>
      <c r="D305" s="6" t="str">
        <f t="shared" si="8"/>
        <v/>
      </c>
      <c r="E305" s="6" t="str">
        <f t="shared" si="9"/>
        <v/>
      </c>
    </row>
    <row r="306" spans="1:5" ht="20.25" customHeight="1" x14ac:dyDescent="0.25">
      <c r="A306" s="27"/>
      <c r="B306" s="27"/>
      <c r="C306" s="27"/>
      <c r="D306" s="6" t="str">
        <f t="shared" si="8"/>
        <v/>
      </c>
      <c r="E306" s="6" t="str">
        <f t="shared" si="9"/>
        <v/>
      </c>
    </row>
    <row r="307" spans="1:5" ht="20.25" customHeight="1" x14ac:dyDescent="0.25">
      <c r="A307" s="27"/>
      <c r="B307" s="27"/>
      <c r="C307" s="27"/>
      <c r="D307" s="6" t="str">
        <f t="shared" si="8"/>
        <v/>
      </c>
      <c r="E307" s="6" t="str">
        <f t="shared" si="9"/>
        <v/>
      </c>
    </row>
    <row r="308" spans="1:5" ht="20.25" customHeight="1" x14ac:dyDescent="0.25">
      <c r="A308" s="27"/>
      <c r="B308" s="27"/>
      <c r="C308" s="27"/>
      <c r="D308" s="6" t="str">
        <f t="shared" si="8"/>
        <v/>
      </c>
      <c r="E308" s="6" t="str">
        <f t="shared" si="9"/>
        <v/>
      </c>
    </row>
    <row r="309" spans="1:5" ht="20.25" customHeight="1" x14ac:dyDescent="0.25">
      <c r="A309" s="27"/>
      <c r="B309" s="27"/>
      <c r="C309" s="27"/>
      <c r="D309" s="6" t="str">
        <f t="shared" si="8"/>
        <v/>
      </c>
      <c r="E309" s="6" t="str">
        <f t="shared" si="9"/>
        <v/>
      </c>
    </row>
    <row r="310" spans="1:5" ht="20.25" customHeight="1" x14ac:dyDescent="0.25">
      <c r="A310" s="27"/>
      <c r="B310" s="27"/>
      <c r="C310" s="27"/>
      <c r="D310" s="6" t="str">
        <f t="shared" si="8"/>
        <v/>
      </c>
      <c r="E310" s="6" t="str">
        <f t="shared" si="9"/>
        <v/>
      </c>
    </row>
    <row r="311" spans="1:5" ht="20.25" customHeight="1" x14ac:dyDescent="0.25">
      <c r="A311" s="27"/>
      <c r="B311" s="27"/>
      <c r="C311" s="27"/>
      <c r="D311" s="6" t="str">
        <f t="shared" si="8"/>
        <v/>
      </c>
      <c r="E311" s="6" t="str">
        <f t="shared" si="9"/>
        <v/>
      </c>
    </row>
    <row r="312" spans="1:5" ht="20.25" customHeight="1" x14ac:dyDescent="0.25">
      <c r="A312" s="27"/>
      <c r="B312" s="27"/>
      <c r="C312" s="27"/>
      <c r="D312" s="6" t="str">
        <f t="shared" si="8"/>
        <v/>
      </c>
      <c r="E312" s="6" t="str">
        <f t="shared" si="9"/>
        <v/>
      </c>
    </row>
    <row r="313" spans="1:5" ht="20.25" customHeight="1" x14ac:dyDescent="0.25">
      <c r="A313" s="27"/>
      <c r="B313" s="27"/>
      <c r="C313" s="27"/>
      <c r="D313" s="6" t="str">
        <f t="shared" si="8"/>
        <v/>
      </c>
      <c r="E313" s="6" t="str">
        <f t="shared" si="9"/>
        <v/>
      </c>
    </row>
    <row r="314" spans="1:5" ht="20.25" customHeight="1" x14ac:dyDescent="0.25">
      <c r="A314" s="27"/>
      <c r="B314" s="27"/>
      <c r="C314" s="27"/>
      <c r="D314" s="6" t="str">
        <f t="shared" si="8"/>
        <v/>
      </c>
      <c r="E314" s="6" t="str">
        <f t="shared" si="9"/>
        <v/>
      </c>
    </row>
    <row r="315" spans="1:5" ht="20.25" customHeight="1" x14ac:dyDescent="0.25">
      <c r="A315" s="27"/>
      <c r="B315" s="27"/>
      <c r="C315" s="27"/>
      <c r="D315" s="6" t="str">
        <f t="shared" si="8"/>
        <v/>
      </c>
      <c r="E315" s="6" t="str">
        <f t="shared" si="9"/>
        <v/>
      </c>
    </row>
    <row r="316" spans="1:5" ht="20.25" customHeight="1" x14ac:dyDescent="0.25">
      <c r="A316" s="27"/>
      <c r="B316" s="27"/>
      <c r="C316" s="27"/>
      <c r="D316" s="6" t="str">
        <f t="shared" si="8"/>
        <v/>
      </c>
      <c r="E316" s="6" t="str">
        <f t="shared" si="9"/>
        <v/>
      </c>
    </row>
    <row r="317" spans="1:5" ht="20.25" customHeight="1" x14ac:dyDescent="0.25">
      <c r="A317" s="27"/>
      <c r="B317" s="27"/>
      <c r="C317" s="27"/>
      <c r="D317" s="6" t="str">
        <f t="shared" si="8"/>
        <v/>
      </c>
      <c r="E317" s="6" t="str">
        <f t="shared" si="9"/>
        <v/>
      </c>
    </row>
    <row r="318" spans="1:5" ht="20.25" customHeight="1" x14ac:dyDescent="0.25">
      <c r="A318" s="27"/>
      <c r="B318" s="27"/>
      <c r="C318" s="27"/>
      <c r="D318" s="6" t="str">
        <f t="shared" si="8"/>
        <v/>
      </c>
      <c r="E318" s="6" t="str">
        <f t="shared" si="9"/>
        <v/>
      </c>
    </row>
    <row r="319" spans="1:5" ht="20.25" customHeight="1" x14ac:dyDescent="0.25">
      <c r="A319" s="27"/>
      <c r="B319" s="27"/>
      <c r="C319" s="27"/>
      <c r="D319" s="6" t="str">
        <f t="shared" si="8"/>
        <v/>
      </c>
      <c r="E319" s="6" t="str">
        <f t="shared" si="9"/>
        <v/>
      </c>
    </row>
    <row r="320" spans="1:5" ht="20.25" customHeight="1" x14ac:dyDescent="0.25">
      <c r="A320" s="27"/>
      <c r="B320" s="27"/>
      <c r="C320" s="27"/>
      <c r="D320" s="6" t="str">
        <f t="shared" si="8"/>
        <v/>
      </c>
      <c r="E320" s="6" t="str">
        <f t="shared" si="9"/>
        <v/>
      </c>
    </row>
    <row r="321" spans="1:5" ht="20.25" customHeight="1" x14ac:dyDescent="0.25">
      <c r="A321" s="27"/>
      <c r="B321" s="27"/>
      <c r="C321" s="27"/>
      <c r="D321" s="6" t="str">
        <f t="shared" si="8"/>
        <v/>
      </c>
      <c r="E321" s="6" t="str">
        <f t="shared" si="9"/>
        <v/>
      </c>
    </row>
    <row r="322" spans="1:5" ht="20.25" customHeight="1" x14ac:dyDescent="0.25">
      <c r="A322" s="27"/>
      <c r="B322" s="27"/>
      <c r="C322" s="27"/>
      <c r="D322" s="6" t="str">
        <f t="shared" si="8"/>
        <v/>
      </c>
      <c r="E322" s="6" t="str">
        <f t="shared" si="9"/>
        <v/>
      </c>
    </row>
    <row r="323" spans="1:5" ht="20.25" customHeight="1" x14ac:dyDescent="0.25">
      <c r="A323" s="27"/>
      <c r="B323" s="27"/>
      <c r="C323" s="27"/>
      <c r="D323" s="6" t="str">
        <f t="shared" si="8"/>
        <v/>
      </c>
      <c r="E323" s="6" t="str">
        <f t="shared" si="9"/>
        <v/>
      </c>
    </row>
    <row r="324" spans="1:5" ht="20.25" customHeight="1" x14ac:dyDescent="0.25">
      <c r="A324" s="27"/>
      <c r="B324" s="27"/>
      <c r="C324" s="27"/>
      <c r="D324" s="6" t="str">
        <f t="shared" si="8"/>
        <v/>
      </c>
      <c r="E324" s="6" t="str">
        <f t="shared" si="9"/>
        <v/>
      </c>
    </row>
    <row r="325" spans="1:5" ht="20.25" customHeight="1" x14ac:dyDescent="0.25">
      <c r="A325" s="27"/>
      <c r="B325" s="27"/>
      <c r="C325" s="27"/>
      <c r="D325" s="6" t="str">
        <f t="shared" ref="D325:D388" si="10">IF(C325="","",IF(C325="PRODUCTION","Taxable (T)",IF(C325="PÉDAGOGIE","Non Taxable (NT)",IF(C325="FONCTIONNEMENT GÉNÉRAL","Mutualisé (M)","ERREUR"))))</f>
        <v/>
      </c>
      <c r="E325" s="6" t="str">
        <f t="shared" ref="E325:E388" si="11">IF(C325="","",IF(C325="PRODUCTION","T",IF(C325="PÉDAGOGIE","NT",IF(C325="FONCTIONNEMENT GÉNÉRAL","M","ERREUR"))))</f>
        <v/>
      </c>
    </row>
    <row r="326" spans="1:5" ht="20.25" customHeight="1" x14ac:dyDescent="0.25">
      <c r="A326" s="27"/>
      <c r="B326" s="27"/>
      <c r="C326" s="27"/>
      <c r="D326" s="6" t="str">
        <f t="shared" si="10"/>
        <v/>
      </c>
      <c r="E326" s="6" t="str">
        <f t="shared" si="11"/>
        <v/>
      </c>
    </row>
    <row r="327" spans="1:5" ht="20.25" customHeight="1" x14ac:dyDescent="0.25">
      <c r="A327" s="27"/>
      <c r="B327" s="27"/>
      <c r="C327" s="27"/>
      <c r="D327" s="6" t="str">
        <f t="shared" si="10"/>
        <v/>
      </c>
      <c r="E327" s="6" t="str">
        <f t="shared" si="11"/>
        <v/>
      </c>
    </row>
    <row r="328" spans="1:5" ht="20.25" customHeight="1" x14ac:dyDescent="0.25">
      <c r="A328" s="27"/>
      <c r="B328" s="27"/>
      <c r="C328" s="27"/>
      <c r="D328" s="6" t="str">
        <f t="shared" si="10"/>
        <v/>
      </c>
      <c r="E328" s="6" t="str">
        <f t="shared" si="11"/>
        <v/>
      </c>
    </row>
    <row r="329" spans="1:5" ht="20.25" customHeight="1" x14ac:dyDescent="0.25">
      <c r="A329" s="27"/>
      <c r="B329" s="27"/>
      <c r="C329" s="27"/>
      <c r="D329" s="6" t="str">
        <f t="shared" si="10"/>
        <v/>
      </c>
      <c r="E329" s="6" t="str">
        <f t="shared" si="11"/>
        <v/>
      </c>
    </row>
    <row r="330" spans="1:5" ht="20.25" customHeight="1" x14ac:dyDescent="0.25">
      <c r="A330" s="27"/>
      <c r="B330" s="27"/>
      <c r="C330" s="27"/>
      <c r="D330" s="6" t="str">
        <f t="shared" si="10"/>
        <v/>
      </c>
      <c r="E330" s="6" t="str">
        <f t="shared" si="11"/>
        <v/>
      </c>
    </row>
    <row r="331" spans="1:5" ht="20.25" customHeight="1" x14ac:dyDescent="0.25">
      <c r="A331" s="27"/>
      <c r="B331" s="27"/>
      <c r="C331" s="27"/>
      <c r="D331" s="6" t="str">
        <f t="shared" si="10"/>
        <v/>
      </c>
      <c r="E331" s="6" t="str">
        <f t="shared" si="11"/>
        <v/>
      </c>
    </row>
    <row r="332" spans="1:5" ht="20.25" customHeight="1" x14ac:dyDescent="0.25">
      <c r="A332" s="27"/>
      <c r="B332" s="27"/>
      <c r="C332" s="27"/>
      <c r="D332" s="6" t="str">
        <f t="shared" si="10"/>
        <v/>
      </c>
      <c r="E332" s="6" t="str">
        <f t="shared" si="11"/>
        <v/>
      </c>
    </row>
    <row r="333" spans="1:5" ht="20.25" customHeight="1" x14ac:dyDescent="0.25">
      <c r="A333" s="27"/>
      <c r="B333" s="27"/>
      <c r="C333" s="27"/>
      <c r="D333" s="6" t="str">
        <f t="shared" si="10"/>
        <v/>
      </c>
      <c r="E333" s="6" t="str">
        <f t="shared" si="11"/>
        <v/>
      </c>
    </row>
    <row r="334" spans="1:5" ht="20.25" customHeight="1" x14ac:dyDescent="0.25">
      <c r="A334" s="27"/>
      <c r="B334" s="27"/>
      <c r="C334" s="27"/>
      <c r="D334" s="6" t="str">
        <f t="shared" si="10"/>
        <v/>
      </c>
      <c r="E334" s="6" t="str">
        <f t="shared" si="11"/>
        <v/>
      </c>
    </row>
    <row r="335" spans="1:5" ht="20.25" customHeight="1" x14ac:dyDescent="0.25">
      <c r="A335" s="27"/>
      <c r="B335" s="27"/>
      <c r="C335" s="27"/>
      <c r="D335" s="6" t="str">
        <f t="shared" si="10"/>
        <v/>
      </c>
      <c r="E335" s="6" t="str">
        <f t="shared" si="11"/>
        <v/>
      </c>
    </row>
    <row r="336" spans="1:5" ht="20.25" customHeight="1" x14ac:dyDescent="0.25">
      <c r="A336" s="27"/>
      <c r="B336" s="27"/>
      <c r="C336" s="27"/>
      <c r="D336" s="6" t="str">
        <f t="shared" si="10"/>
        <v/>
      </c>
      <c r="E336" s="6" t="str">
        <f t="shared" si="11"/>
        <v/>
      </c>
    </row>
    <row r="337" spans="1:5" ht="20.25" customHeight="1" x14ac:dyDescent="0.25">
      <c r="A337" s="27"/>
      <c r="B337" s="27"/>
      <c r="C337" s="27"/>
      <c r="D337" s="6" t="str">
        <f t="shared" si="10"/>
        <v/>
      </c>
      <c r="E337" s="6" t="str">
        <f t="shared" si="11"/>
        <v/>
      </c>
    </row>
    <row r="338" spans="1:5" ht="20.25" customHeight="1" x14ac:dyDescent="0.25">
      <c r="A338" s="27"/>
      <c r="B338" s="27"/>
      <c r="C338" s="27"/>
      <c r="D338" s="6" t="str">
        <f t="shared" si="10"/>
        <v/>
      </c>
      <c r="E338" s="6" t="str">
        <f t="shared" si="11"/>
        <v/>
      </c>
    </row>
    <row r="339" spans="1:5" ht="20.25" customHeight="1" x14ac:dyDescent="0.25">
      <c r="A339" s="27"/>
      <c r="B339" s="27"/>
      <c r="C339" s="27"/>
      <c r="D339" s="6" t="str">
        <f t="shared" si="10"/>
        <v/>
      </c>
      <c r="E339" s="6" t="str">
        <f t="shared" si="11"/>
        <v/>
      </c>
    </row>
    <row r="340" spans="1:5" ht="20.25" customHeight="1" x14ac:dyDescent="0.25">
      <c r="A340" s="27"/>
      <c r="B340" s="27"/>
      <c r="C340" s="27"/>
      <c r="D340" s="6" t="str">
        <f t="shared" si="10"/>
        <v/>
      </c>
      <c r="E340" s="6" t="str">
        <f t="shared" si="11"/>
        <v/>
      </c>
    </row>
    <row r="341" spans="1:5" ht="20.25" customHeight="1" x14ac:dyDescent="0.25">
      <c r="A341" s="27"/>
      <c r="B341" s="27"/>
      <c r="C341" s="27"/>
      <c r="D341" s="6" t="str">
        <f t="shared" si="10"/>
        <v/>
      </c>
      <c r="E341" s="6" t="str">
        <f t="shared" si="11"/>
        <v/>
      </c>
    </row>
    <row r="342" spans="1:5" ht="20.25" customHeight="1" x14ac:dyDescent="0.25">
      <c r="A342" s="27"/>
      <c r="B342" s="27"/>
      <c r="C342" s="27"/>
      <c r="D342" s="6" t="str">
        <f t="shared" si="10"/>
        <v/>
      </c>
      <c r="E342" s="6" t="str">
        <f t="shared" si="11"/>
        <v/>
      </c>
    </row>
    <row r="343" spans="1:5" ht="20.25" customHeight="1" x14ac:dyDescent="0.25">
      <c r="A343" s="27"/>
      <c r="B343" s="27"/>
      <c r="C343" s="27"/>
      <c r="D343" s="6" t="str">
        <f t="shared" si="10"/>
        <v/>
      </c>
      <c r="E343" s="6" t="str">
        <f t="shared" si="11"/>
        <v/>
      </c>
    </row>
    <row r="344" spans="1:5" ht="20.25" customHeight="1" x14ac:dyDescent="0.25">
      <c r="A344" s="27"/>
      <c r="B344" s="27"/>
      <c r="C344" s="27"/>
      <c r="D344" s="6" t="str">
        <f t="shared" si="10"/>
        <v/>
      </c>
      <c r="E344" s="6" t="str">
        <f t="shared" si="11"/>
        <v/>
      </c>
    </row>
    <row r="345" spans="1:5" ht="20.25" customHeight="1" x14ac:dyDescent="0.25">
      <c r="A345" s="27"/>
      <c r="B345" s="27"/>
      <c r="C345" s="27"/>
      <c r="D345" s="6" t="str">
        <f t="shared" si="10"/>
        <v/>
      </c>
      <c r="E345" s="6" t="str">
        <f t="shared" si="11"/>
        <v/>
      </c>
    </row>
    <row r="346" spans="1:5" ht="20.25" customHeight="1" x14ac:dyDescent="0.25">
      <c r="A346" s="27"/>
      <c r="B346" s="27"/>
      <c r="C346" s="27"/>
      <c r="D346" s="6" t="str">
        <f t="shared" si="10"/>
        <v/>
      </c>
      <c r="E346" s="6" t="str">
        <f t="shared" si="11"/>
        <v/>
      </c>
    </row>
    <row r="347" spans="1:5" ht="20.25" customHeight="1" x14ac:dyDescent="0.25">
      <c r="A347" s="27"/>
      <c r="B347" s="27"/>
      <c r="C347" s="27"/>
      <c r="D347" s="6" t="str">
        <f t="shared" si="10"/>
        <v/>
      </c>
      <c r="E347" s="6" t="str">
        <f t="shared" si="11"/>
        <v/>
      </c>
    </row>
    <row r="348" spans="1:5" ht="20.25" customHeight="1" x14ac:dyDescent="0.25">
      <c r="A348" s="27"/>
      <c r="B348" s="27"/>
      <c r="C348" s="27"/>
      <c r="D348" s="6" t="str">
        <f t="shared" si="10"/>
        <v/>
      </c>
      <c r="E348" s="6" t="str">
        <f t="shared" si="11"/>
        <v/>
      </c>
    </row>
    <row r="349" spans="1:5" ht="20.25" customHeight="1" x14ac:dyDescent="0.25">
      <c r="A349" s="27"/>
      <c r="B349" s="27"/>
      <c r="C349" s="27"/>
      <c r="D349" s="6" t="str">
        <f t="shared" si="10"/>
        <v/>
      </c>
      <c r="E349" s="6" t="str">
        <f t="shared" si="11"/>
        <v/>
      </c>
    </row>
    <row r="350" spans="1:5" ht="20.25" customHeight="1" x14ac:dyDescent="0.25">
      <c r="A350" s="27"/>
      <c r="B350" s="27"/>
      <c r="C350" s="27"/>
      <c r="D350" s="6" t="str">
        <f t="shared" si="10"/>
        <v/>
      </c>
      <c r="E350" s="6" t="str">
        <f t="shared" si="11"/>
        <v/>
      </c>
    </row>
    <row r="351" spans="1:5" ht="20.25" customHeight="1" x14ac:dyDescent="0.25">
      <c r="A351" s="27"/>
      <c r="B351" s="27"/>
      <c r="C351" s="27"/>
      <c r="D351" s="6" t="str">
        <f t="shared" si="10"/>
        <v/>
      </c>
      <c r="E351" s="6" t="str">
        <f t="shared" si="11"/>
        <v/>
      </c>
    </row>
    <row r="352" spans="1:5" ht="20.25" customHeight="1" x14ac:dyDescent="0.25">
      <c r="A352" s="27"/>
      <c r="B352" s="27"/>
      <c r="C352" s="27"/>
      <c r="D352" s="6" t="str">
        <f t="shared" si="10"/>
        <v/>
      </c>
      <c r="E352" s="6" t="str">
        <f t="shared" si="11"/>
        <v/>
      </c>
    </row>
    <row r="353" spans="1:5" ht="20.25" customHeight="1" x14ac:dyDescent="0.25">
      <c r="A353" s="27"/>
      <c r="B353" s="27"/>
      <c r="C353" s="27"/>
      <c r="D353" s="6" t="str">
        <f t="shared" si="10"/>
        <v/>
      </c>
      <c r="E353" s="6" t="str">
        <f t="shared" si="11"/>
        <v/>
      </c>
    </row>
    <row r="354" spans="1:5" ht="20.25" customHeight="1" x14ac:dyDescent="0.25">
      <c r="A354" s="27"/>
      <c r="B354" s="27"/>
      <c r="C354" s="27"/>
      <c r="D354" s="6" t="str">
        <f t="shared" si="10"/>
        <v/>
      </c>
      <c r="E354" s="6" t="str">
        <f t="shared" si="11"/>
        <v/>
      </c>
    </row>
    <row r="355" spans="1:5" ht="20.25" customHeight="1" x14ac:dyDescent="0.25">
      <c r="A355" s="27"/>
      <c r="B355" s="27"/>
      <c r="C355" s="27"/>
      <c r="D355" s="6" t="str">
        <f t="shared" si="10"/>
        <v/>
      </c>
      <c r="E355" s="6" t="str">
        <f t="shared" si="11"/>
        <v/>
      </c>
    </row>
    <row r="356" spans="1:5" ht="20.25" customHeight="1" x14ac:dyDescent="0.25">
      <c r="A356" s="27"/>
      <c r="B356" s="27"/>
      <c r="C356" s="27"/>
      <c r="D356" s="6" t="str">
        <f t="shared" si="10"/>
        <v/>
      </c>
      <c r="E356" s="6" t="str">
        <f t="shared" si="11"/>
        <v/>
      </c>
    </row>
    <row r="357" spans="1:5" ht="20.25" customHeight="1" x14ac:dyDescent="0.25">
      <c r="A357" s="27"/>
      <c r="B357" s="27"/>
      <c r="C357" s="27"/>
      <c r="D357" s="6" t="str">
        <f t="shared" si="10"/>
        <v/>
      </c>
      <c r="E357" s="6" t="str">
        <f t="shared" si="11"/>
        <v/>
      </c>
    </row>
    <row r="358" spans="1:5" ht="20.25" customHeight="1" x14ac:dyDescent="0.25">
      <c r="A358" s="27"/>
      <c r="B358" s="27"/>
      <c r="C358" s="27"/>
      <c r="D358" s="6" t="str">
        <f t="shared" si="10"/>
        <v/>
      </c>
      <c r="E358" s="6" t="str">
        <f t="shared" si="11"/>
        <v/>
      </c>
    </row>
    <row r="359" spans="1:5" ht="20.25" customHeight="1" x14ac:dyDescent="0.25">
      <c r="A359" s="27"/>
      <c r="B359" s="27"/>
      <c r="C359" s="27"/>
      <c r="D359" s="6" t="str">
        <f t="shared" si="10"/>
        <v/>
      </c>
      <c r="E359" s="6" t="str">
        <f t="shared" si="11"/>
        <v/>
      </c>
    </row>
    <row r="360" spans="1:5" ht="20.25" customHeight="1" x14ac:dyDescent="0.25">
      <c r="A360" s="27"/>
      <c r="B360" s="27"/>
      <c r="C360" s="27"/>
      <c r="D360" s="6" t="str">
        <f t="shared" si="10"/>
        <v/>
      </c>
      <c r="E360" s="6" t="str">
        <f t="shared" si="11"/>
        <v/>
      </c>
    </row>
    <row r="361" spans="1:5" ht="20.25" customHeight="1" x14ac:dyDescent="0.25">
      <c r="A361" s="27"/>
      <c r="B361" s="27"/>
      <c r="C361" s="27"/>
      <c r="D361" s="6" t="str">
        <f t="shared" si="10"/>
        <v/>
      </c>
      <c r="E361" s="6" t="str">
        <f t="shared" si="11"/>
        <v/>
      </c>
    </row>
    <row r="362" spans="1:5" ht="20.25" customHeight="1" x14ac:dyDescent="0.25">
      <c r="A362" s="27"/>
      <c r="B362" s="27"/>
      <c r="C362" s="27"/>
      <c r="D362" s="6" t="str">
        <f t="shared" si="10"/>
        <v/>
      </c>
      <c r="E362" s="6" t="str">
        <f t="shared" si="11"/>
        <v/>
      </c>
    </row>
    <row r="363" spans="1:5" ht="20.25" customHeight="1" x14ac:dyDescent="0.25">
      <c r="A363" s="27"/>
      <c r="B363" s="27"/>
      <c r="C363" s="27"/>
      <c r="D363" s="6" t="str">
        <f t="shared" si="10"/>
        <v/>
      </c>
      <c r="E363" s="6" t="str">
        <f t="shared" si="11"/>
        <v/>
      </c>
    </row>
    <row r="364" spans="1:5" ht="20.25" customHeight="1" x14ac:dyDescent="0.25">
      <c r="A364" s="27"/>
      <c r="B364" s="27"/>
      <c r="C364" s="27"/>
      <c r="D364" s="6" t="str">
        <f t="shared" si="10"/>
        <v/>
      </c>
      <c r="E364" s="6" t="str">
        <f t="shared" si="11"/>
        <v/>
      </c>
    </row>
    <row r="365" spans="1:5" ht="20.25" customHeight="1" x14ac:dyDescent="0.25">
      <c r="A365" s="27"/>
      <c r="B365" s="27"/>
      <c r="C365" s="27"/>
      <c r="D365" s="6" t="str">
        <f t="shared" si="10"/>
        <v/>
      </c>
      <c r="E365" s="6" t="str">
        <f t="shared" si="11"/>
        <v/>
      </c>
    </row>
    <row r="366" spans="1:5" ht="20.25" customHeight="1" x14ac:dyDescent="0.25">
      <c r="A366" s="27"/>
      <c r="B366" s="27"/>
      <c r="C366" s="27"/>
      <c r="D366" s="6" t="str">
        <f t="shared" si="10"/>
        <v/>
      </c>
      <c r="E366" s="6" t="str">
        <f t="shared" si="11"/>
        <v/>
      </c>
    </row>
    <row r="367" spans="1:5" ht="20.25" customHeight="1" x14ac:dyDescent="0.25">
      <c r="A367" s="27"/>
      <c r="B367" s="27"/>
      <c r="C367" s="27"/>
      <c r="D367" s="6" t="str">
        <f t="shared" si="10"/>
        <v/>
      </c>
      <c r="E367" s="6" t="str">
        <f t="shared" si="11"/>
        <v/>
      </c>
    </row>
    <row r="368" spans="1:5" ht="20.25" customHeight="1" x14ac:dyDescent="0.25">
      <c r="A368" s="27"/>
      <c r="B368" s="27"/>
      <c r="C368" s="27"/>
      <c r="D368" s="6" t="str">
        <f t="shared" si="10"/>
        <v/>
      </c>
      <c r="E368" s="6" t="str">
        <f t="shared" si="11"/>
        <v/>
      </c>
    </row>
    <row r="369" spans="1:5" ht="20.25" customHeight="1" x14ac:dyDescent="0.25">
      <c r="A369" s="27"/>
      <c r="B369" s="27"/>
      <c r="C369" s="27"/>
      <c r="D369" s="6" t="str">
        <f t="shared" si="10"/>
        <v/>
      </c>
      <c r="E369" s="6" t="str">
        <f t="shared" si="11"/>
        <v/>
      </c>
    </row>
    <row r="370" spans="1:5" ht="20.25" customHeight="1" x14ac:dyDescent="0.25">
      <c r="A370" s="27"/>
      <c r="B370" s="27"/>
      <c r="C370" s="27"/>
      <c r="D370" s="6" t="str">
        <f t="shared" si="10"/>
        <v/>
      </c>
      <c r="E370" s="6" t="str">
        <f t="shared" si="11"/>
        <v/>
      </c>
    </row>
    <row r="371" spans="1:5" ht="20.25" customHeight="1" x14ac:dyDescent="0.25">
      <c r="A371" s="27"/>
      <c r="B371" s="27"/>
      <c r="C371" s="27"/>
      <c r="D371" s="6" t="str">
        <f t="shared" si="10"/>
        <v/>
      </c>
      <c r="E371" s="6" t="str">
        <f t="shared" si="11"/>
        <v/>
      </c>
    </row>
    <row r="372" spans="1:5" ht="20.25" customHeight="1" x14ac:dyDescent="0.25">
      <c r="A372" s="27"/>
      <c r="B372" s="27"/>
      <c r="C372" s="27"/>
      <c r="D372" s="6" t="str">
        <f t="shared" si="10"/>
        <v/>
      </c>
      <c r="E372" s="6" t="str">
        <f t="shared" si="11"/>
        <v/>
      </c>
    </row>
    <row r="373" spans="1:5" ht="20.25" customHeight="1" x14ac:dyDescent="0.25">
      <c r="A373" s="27"/>
      <c r="B373" s="27"/>
      <c r="C373" s="27"/>
      <c r="D373" s="6" t="str">
        <f t="shared" si="10"/>
        <v/>
      </c>
      <c r="E373" s="6" t="str">
        <f t="shared" si="11"/>
        <v/>
      </c>
    </row>
    <row r="374" spans="1:5" ht="20.25" customHeight="1" x14ac:dyDescent="0.25">
      <c r="A374" s="27"/>
      <c r="B374" s="27"/>
      <c r="C374" s="27"/>
      <c r="D374" s="6" t="str">
        <f t="shared" si="10"/>
        <v/>
      </c>
      <c r="E374" s="6" t="str">
        <f t="shared" si="11"/>
        <v/>
      </c>
    </row>
    <row r="375" spans="1:5" ht="20.25" customHeight="1" x14ac:dyDescent="0.25">
      <c r="A375" s="27"/>
      <c r="B375" s="27"/>
      <c r="C375" s="27"/>
      <c r="D375" s="6" t="str">
        <f t="shared" si="10"/>
        <v/>
      </c>
      <c r="E375" s="6" t="str">
        <f t="shared" si="11"/>
        <v/>
      </c>
    </row>
    <row r="376" spans="1:5" ht="20.25" customHeight="1" x14ac:dyDescent="0.25">
      <c r="A376" s="27"/>
      <c r="B376" s="27"/>
      <c r="C376" s="27"/>
      <c r="D376" s="6" t="str">
        <f t="shared" si="10"/>
        <v/>
      </c>
      <c r="E376" s="6" t="str">
        <f t="shared" si="11"/>
        <v/>
      </c>
    </row>
    <row r="377" spans="1:5" ht="20.25" customHeight="1" x14ac:dyDescent="0.25">
      <c r="A377" s="27"/>
      <c r="B377" s="27"/>
      <c r="C377" s="27"/>
      <c r="D377" s="6" t="str">
        <f t="shared" si="10"/>
        <v/>
      </c>
      <c r="E377" s="6" t="str">
        <f t="shared" si="11"/>
        <v/>
      </c>
    </row>
    <row r="378" spans="1:5" ht="20.25" customHeight="1" x14ac:dyDescent="0.25">
      <c r="A378" s="27"/>
      <c r="B378" s="27"/>
      <c r="C378" s="27"/>
      <c r="D378" s="6" t="str">
        <f t="shared" si="10"/>
        <v/>
      </c>
      <c r="E378" s="6" t="str">
        <f t="shared" si="11"/>
        <v/>
      </c>
    </row>
    <row r="379" spans="1:5" ht="20.25" customHeight="1" x14ac:dyDescent="0.25">
      <c r="A379" s="27"/>
      <c r="B379" s="27"/>
      <c r="C379" s="27"/>
      <c r="D379" s="6" t="str">
        <f t="shared" si="10"/>
        <v/>
      </c>
      <c r="E379" s="6" t="str">
        <f t="shared" si="11"/>
        <v/>
      </c>
    </row>
    <row r="380" spans="1:5" ht="20.25" customHeight="1" x14ac:dyDescent="0.25">
      <c r="A380" s="27"/>
      <c r="B380" s="27"/>
      <c r="C380" s="27"/>
      <c r="D380" s="6" t="str">
        <f t="shared" si="10"/>
        <v/>
      </c>
      <c r="E380" s="6" t="str">
        <f t="shared" si="11"/>
        <v/>
      </c>
    </row>
    <row r="381" spans="1:5" ht="20.25" customHeight="1" x14ac:dyDescent="0.25">
      <c r="A381" s="27"/>
      <c r="B381" s="27"/>
      <c r="C381" s="27"/>
      <c r="D381" s="6" t="str">
        <f t="shared" si="10"/>
        <v/>
      </c>
      <c r="E381" s="6" t="str">
        <f t="shared" si="11"/>
        <v/>
      </c>
    </row>
    <row r="382" spans="1:5" ht="20.25" customHeight="1" x14ac:dyDescent="0.25">
      <c r="A382" s="27"/>
      <c r="B382" s="27"/>
      <c r="C382" s="27"/>
      <c r="D382" s="6" t="str">
        <f t="shared" si="10"/>
        <v/>
      </c>
      <c r="E382" s="6" t="str">
        <f t="shared" si="11"/>
        <v/>
      </c>
    </row>
    <row r="383" spans="1:5" ht="20.25" customHeight="1" x14ac:dyDescent="0.25">
      <c r="A383" s="27"/>
      <c r="B383" s="27"/>
      <c r="C383" s="27"/>
      <c r="D383" s="6" t="str">
        <f t="shared" si="10"/>
        <v/>
      </c>
      <c r="E383" s="6" t="str">
        <f t="shared" si="11"/>
        <v/>
      </c>
    </row>
    <row r="384" spans="1:5" ht="20.25" customHeight="1" x14ac:dyDescent="0.25">
      <c r="A384" s="27"/>
      <c r="B384" s="27"/>
      <c r="C384" s="27"/>
      <c r="D384" s="6" t="str">
        <f t="shared" si="10"/>
        <v/>
      </c>
      <c r="E384" s="6" t="str">
        <f t="shared" si="11"/>
        <v/>
      </c>
    </row>
    <row r="385" spans="1:5" ht="20.25" customHeight="1" x14ac:dyDescent="0.25">
      <c r="A385" s="27"/>
      <c r="B385" s="27"/>
      <c r="C385" s="27"/>
      <c r="D385" s="6" t="str">
        <f t="shared" si="10"/>
        <v/>
      </c>
      <c r="E385" s="6" t="str">
        <f t="shared" si="11"/>
        <v/>
      </c>
    </row>
    <row r="386" spans="1:5" ht="20.25" customHeight="1" x14ac:dyDescent="0.25">
      <c r="A386" s="27"/>
      <c r="B386" s="27"/>
      <c r="C386" s="27"/>
      <c r="D386" s="6" t="str">
        <f t="shared" si="10"/>
        <v/>
      </c>
      <c r="E386" s="6" t="str">
        <f t="shared" si="11"/>
        <v/>
      </c>
    </row>
    <row r="387" spans="1:5" ht="20.25" customHeight="1" x14ac:dyDescent="0.25">
      <c r="A387" s="27"/>
      <c r="B387" s="27"/>
      <c r="C387" s="27"/>
      <c r="D387" s="6" t="str">
        <f t="shared" si="10"/>
        <v/>
      </c>
      <c r="E387" s="6" t="str">
        <f t="shared" si="11"/>
        <v/>
      </c>
    </row>
    <row r="388" spans="1:5" ht="20.25" customHeight="1" x14ac:dyDescent="0.25">
      <c r="A388" s="27"/>
      <c r="B388" s="27"/>
      <c r="C388" s="27"/>
      <c r="D388" s="6" t="str">
        <f t="shared" si="10"/>
        <v/>
      </c>
      <c r="E388" s="6" t="str">
        <f t="shared" si="11"/>
        <v/>
      </c>
    </row>
    <row r="389" spans="1:5" ht="20.25" customHeight="1" x14ac:dyDescent="0.25">
      <c r="A389" s="27"/>
      <c r="B389" s="27"/>
      <c r="C389" s="27"/>
      <c r="D389" s="6" t="str">
        <f t="shared" ref="D389:D452" si="12">IF(C389="","",IF(C389="PRODUCTION","Taxable (T)",IF(C389="PÉDAGOGIE","Non Taxable (NT)",IF(C389="FONCTIONNEMENT GÉNÉRAL","Mutualisé (M)","ERREUR"))))</f>
        <v/>
      </c>
      <c r="E389" s="6" t="str">
        <f t="shared" ref="E389:E452" si="13">IF(C389="","",IF(C389="PRODUCTION","T",IF(C389="PÉDAGOGIE","NT",IF(C389="FONCTIONNEMENT GÉNÉRAL","M","ERREUR"))))</f>
        <v/>
      </c>
    </row>
    <row r="390" spans="1:5" ht="20.25" customHeight="1" x14ac:dyDescent="0.25">
      <c r="A390" s="27"/>
      <c r="B390" s="27"/>
      <c r="C390" s="27"/>
      <c r="D390" s="6" t="str">
        <f t="shared" si="12"/>
        <v/>
      </c>
      <c r="E390" s="6" t="str">
        <f t="shared" si="13"/>
        <v/>
      </c>
    </row>
    <row r="391" spans="1:5" ht="20.25" customHeight="1" x14ac:dyDescent="0.25">
      <c r="A391" s="27"/>
      <c r="B391" s="27"/>
      <c r="C391" s="27"/>
      <c r="D391" s="6" t="str">
        <f t="shared" si="12"/>
        <v/>
      </c>
      <c r="E391" s="6" t="str">
        <f t="shared" si="13"/>
        <v/>
      </c>
    </row>
    <row r="392" spans="1:5" ht="20.25" customHeight="1" x14ac:dyDescent="0.25">
      <c r="A392" s="27"/>
      <c r="B392" s="27"/>
      <c r="C392" s="27"/>
      <c r="D392" s="6" t="str">
        <f t="shared" si="12"/>
        <v/>
      </c>
      <c r="E392" s="6" t="str">
        <f t="shared" si="13"/>
        <v/>
      </c>
    </row>
    <row r="393" spans="1:5" ht="20.25" customHeight="1" x14ac:dyDescent="0.25">
      <c r="A393" s="27"/>
      <c r="B393" s="27"/>
      <c r="C393" s="27"/>
      <c r="D393" s="6" t="str">
        <f t="shared" si="12"/>
        <v/>
      </c>
      <c r="E393" s="6" t="str">
        <f t="shared" si="13"/>
        <v/>
      </c>
    </row>
    <row r="394" spans="1:5" ht="20.25" customHeight="1" x14ac:dyDescent="0.25">
      <c r="A394" s="27"/>
      <c r="B394" s="27"/>
      <c r="C394" s="27"/>
      <c r="D394" s="6" t="str">
        <f t="shared" si="12"/>
        <v/>
      </c>
      <c r="E394" s="6" t="str">
        <f t="shared" si="13"/>
        <v/>
      </c>
    </row>
    <row r="395" spans="1:5" ht="20.25" customHeight="1" x14ac:dyDescent="0.25">
      <c r="A395" s="27"/>
      <c r="B395" s="27"/>
      <c r="C395" s="27"/>
      <c r="D395" s="6" t="str">
        <f t="shared" si="12"/>
        <v/>
      </c>
      <c r="E395" s="6" t="str">
        <f t="shared" si="13"/>
        <v/>
      </c>
    </row>
    <row r="396" spans="1:5" ht="20.25" customHeight="1" x14ac:dyDescent="0.25">
      <c r="A396" s="27"/>
      <c r="B396" s="27"/>
      <c r="C396" s="27"/>
      <c r="D396" s="6" t="str">
        <f t="shared" si="12"/>
        <v/>
      </c>
      <c r="E396" s="6" t="str">
        <f t="shared" si="13"/>
        <v/>
      </c>
    </row>
    <row r="397" spans="1:5" ht="20.25" customHeight="1" x14ac:dyDescent="0.25">
      <c r="A397" s="27"/>
      <c r="B397" s="27"/>
      <c r="C397" s="27"/>
      <c r="D397" s="6" t="str">
        <f t="shared" si="12"/>
        <v/>
      </c>
      <c r="E397" s="6" t="str">
        <f t="shared" si="13"/>
        <v/>
      </c>
    </row>
    <row r="398" spans="1:5" ht="20.25" customHeight="1" x14ac:dyDescent="0.25">
      <c r="A398" s="27"/>
      <c r="B398" s="27"/>
      <c r="C398" s="27"/>
      <c r="D398" s="6" t="str">
        <f t="shared" si="12"/>
        <v/>
      </c>
      <c r="E398" s="6" t="str">
        <f t="shared" si="13"/>
        <v/>
      </c>
    </row>
    <row r="399" spans="1:5" ht="20.25" customHeight="1" x14ac:dyDescent="0.25">
      <c r="A399" s="27"/>
      <c r="B399" s="27"/>
      <c r="C399" s="27"/>
      <c r="D399" s="6" t="str">
        <f t="shared" si="12"/>
        <v/>
      </c>
      <c r="E399" s="6" t="str">
        <f t="shared" si="13"/>
        <v/>
      </c>
    </row>
    <row r="400" spans="1:5" ht="20.25" customHeight="1" x14ac:dyDescent="0.25">
      <c r="A400" s="27"/>
      <c r="B400" s="27"/>
      <c r="C400" s="27"/>
      <c r="D400" s="6" t="str">
        <f t="shared" si="12"/>
        <v/>
      </c>
      <c r="E400" s="6" t="str">
        <f t="shared" si="13"/>
        <v/>
      </c>
    </row>
    <row r="401" spans="1:5" ht="20.25" customHeight="1" x14ac:dyDescent="0.25">
      <c r="A401" s="27"/>
      <c r="B401" s="27"/>
      <c r="C401" s="27"/>
      <c r="D401" s="6" t="str">
        <f t="shared" si="12"/>
        <v/>
      </c>
      <c r="E401" s="6" t="str">
        <f t="shared" si="13"/>
        <v/>
      </c>
    </row>
    <row r="402" spans="1:5" ht="20.25" customHeight="1" x14ac:dyDescent="0.25">
      <c r="A402" s="27"/>
      <c r="B402" s="27"/>
      <c r="C402" s="27"/>
      <c r="D402" s="6" t="str">
        <f t="shared" si="12"/>
        <v/>
      </c>
      <c r="E402" s="6" t="str">
        <f t="shared" si="13"/>
        <v/>
      </c>
    </row>
    <row r="403" spans="1:5" ht="20.25" customHeight="1" x14ac:dyDescent="0.25">
      <c r="A403" s="27"/>
      <c r="B403" s="27"/>
      <c r="C403" s="27"/>
      <c r="D403" s="6" t="str">
        <f t="shared" si="12"/>
        <v/>
      </c>
      <c r="E403" s="6" t="str">
        <f t="shared" si="13"/>
        <v/>
      </c>
    </row>
    <row r="404" spans="1:5" ht="20.25" customHeight="1" x14ac:dyDescent="0.25">
      <c r="A404" s="27"/>
      <c r="B404" s="27"/>
      <c r="C404" s="27"/>
      <c r="D404" s="6" t="str">
        <f t="shared" si="12"/>
        <v/>
      </c>
      <c r="E404" s="6" t="str">
        <f t="shared" si="13"/>
        <v/>
      </c>
    </row>
    <row r="405" spans="1:5" ht="20.25" customHeight="1" x14ac:dyDescent="0.25">
      <c r="A405" s="27"/>
      <c r="B405" s="27"/>
      <c r="C405" s="27"/>
      <c r="D405" s="6" t="str">
        <f t="shared" si="12"/>
        <v/>
      </c>
      <c r="E405" s="6" t="str">
        <f t="shared" si="13"/>
        <v/>
      </c>
    </row>
    <row r="406" spans="1:5" ht="20.25" customHeight="1" x14ac:dyDescent="0.25">
      <c r="A406" s="27"/>
      <c r="B406" s="27"/>
      <c r="C406" s="27"/>
      <c r="D406" s="6" t="str">
        <f t="shared" si="12"/>
        <v/>
      </c>
      <c r="E406" s="6" t="str">
        <f t="shared" si="13"/>
        <v/>
      </c>
    </row>
    <row r="407" spans="1:5" ht="20.25" customHeight="1" x14ac:dyDescent="0.25">
      <c r="A407" s="27"/>
      <c r="B407" s="27"/>
      <c r="C407" s="27"/>
      <c r="D407" s="6" t="str">
        <f t="shared" si="12"/>
        <v/>
      </c>
      <c r="E407" s="6" t="str">
        <f t="shared" si="13"/>
        <v/>
      </c>
    </row>
    <row r="408" spans="1:5" ht="20.25" customHeight="1" x14ac:dyDescent="0.25">
      <c r="A408" s="27"/>
      <c r="B408" s="27"/>
      <c r="C408" s="27"/>
      <c r="D408" s="6" t="str">
        <f t="shared" si="12"/>
        <v/>
      </c>
      <c r="E408" s="6" t="str">
        <f t="shared" si="13"/>
        <v/>
      </c>
    </row>
    <row r="409" spans="1:5" ht="20.25" customHeight="1" x14ac:dyDescent="0.25">
      <c r="A409" s="27"/>
      <c r="B409" s="27"/>
      <c r="C409" s="27"/>
      <c r="D409" s="6" t="str">
        <f t="shared" si="12"/>
        <v/>
      </c>
      <c r="E409" s="6" t="str">
        <f t="shared" si="13"/>
        <v/>
      </c>
    </row>
    <row r="410" spans="1:5" ht="20.25" customHeight="1" x14ac:dyDescent="0.25">
      <c r="A410" s="27"/>
      <c r="B410" s="27"/>
      <c r="C410" s="27"/>
      <c r="D410" s="6" t="str">
        <f t="shared" si="12"/>
        <v/>
      </c>
      <c r="E410" s="6" t="str">
        <f t="shared" si="13"/>
        <v/>
      </c>
    </row>
    <row r="411" spans="1:5" ht="20.25" customHeight="1" x14ac:dyDescent="0.25">
      <c r="A411" s="27"/>
      <c r="B411" s="27"/>
      <c r="C411" s="27"/>
      <c r="D411" s="6" t="str">
        <f t="shared" si="12"/>
        <v/>
      </c>
      <c r="E411" s="6" t="str">
        <f t="shared" si="13"/>
        <v/>
      </c>
    </row>
    <row r="412" spans="1:5" ht="20.25" customHeight="1" x14ac:dyDescent="0.25">
      <c r="A412" s="27"/>
      <c r="B412" s="27"/>
      <c r="C412" s="27"/>
      <c r="D412" s="6" t="str">
        <f t="shared" si="12"/>
        <v/>
      </c>
      <c r="E412" s="6" t="str">
        <f t="shared" si="13"/>
        <v/>
      </c>
    </row>
    <row r="413" spans="1:5" ht="20.25" customHeight="1" x14ac:dyDescent="0.25">
      <c r="A413" s="27"/>
      <c r="B413" s="27"/>
      <c r="C413" s="27"/>
      <c r="D413" s="6" t="str">
        <f t="shared" si="12"/>
        <v/>
      </c>
      <c r="E413" s="6" t="str">
        <f t="shared" si="13"/>
        <v/>
      </c>
    </row>
    <row r="414" spans="1:5" ht="20.25" customHeight="1" x14ac:dyDescent="0.25">
      <c r="A414" s="27"/>
      <c r="B414" s="27"/>
      <c r="C414" s="27"/>
      <c r="D414" s="6" t="str">
        <f t="shared" si="12"/>
        <v/>
      </c>
      <c r="E414" s="6" t="str">
        <f t="shared" si="13"/>
        <v/>
      </c>
    </row>
    <row r="415" spans="1:5" ht="20.25" customHeight="1" x14ac:dyDescent="0.25">
      <c r="A415" s="27"/>
      <c r="B415" s="27"/>
      <c r="C415" s="27"/>
      <c r="D415" s="6" t="str">
        <f t="shared" si="12"/>
        <v/>
      </c>
      <c r="E415" s="6" t="str">
        <f t="shared" si="13"/>
        <v/>
      </c>
    </row>
    <row r="416" spans="1:5" ht="20.25" customHeight="1" x14ac:dyDescent="0.25">
      <c r="A416" s="27"/>
      <c r="B416" s="27"/>
      <c r="C416" s="27"/>
      <c r="D416" s="6" t="str">
        <f t="shared" si="12"/>
        <v/>
      </c>
      <c r="E416" s="6" t="str">
        <f t="shared" si="13"/>
        <v/>
      </c>
    </row>
    <row r="417" spans="1:5" ht="20.25" customHeight="1" x14ac:dyDescent="0.25">
      <c r="A417" s="27"/>
      <c r="B417" s="27"/>
      <c r="C417" s="27"/>
      <c r="D417" s="6" t="str">
        <f t="shared" si="12"/>
        <v/>
      </c>
      <c r="E417" s="6" t="str">
        <f t="shared" si="13"/>
        <v/>
      </c>
    </row>
    <row r="418" spans="1:5" ht="20.25" customHeight="1" x14ac:dyDescent="0.25">
      <c r="A418" s="27"/>
      <c r="B418" s="27"/>
      <c r="C418" s="27"/>
      <c r="D418" s="6" t="str">
        <f t="shared" si="12"/>
        <v/>
      </c>
      <c r="E418" s="6" t="str">
        <f t="shared" si="13"/>
        <v/>
      </c>
    </row>
    <row r="419" spans="1:5" ht="20.25" customHeight="1" x14ac:dyDescent="0.25">
      <c r="A419" s="27"/>
      <c r="B419" s="27"/>
      <c r="C419" s="27"/>
      <c r="D419" s="6" t="str">
        <f t="shared" si="12"/>
        <v/>
      </c>
      <c r="E419" s="6" t="str">
        <f t="shared" si="13"/>
        <v/>
      </c>
    </row>
    <row r="420" spans="1:5" ht="20.25" customHeight="1" x14ac:dyDescent="0.25">
      <c r="A420" s="27"/>
      <c r="B420" s="27"/>
      <c r="C420" s="27"/>
      <c r="D420" s="6" t="str">
        <f t="shared" si="12"/>
        <v/>
      </c>
      <c r="E420" s="6" t="str">
        <f t="shared" si="13"/>
        <v/>
      </c>
    </row>
    <row r="421" spans="1:5" ht="20.25" customHeight="1" x14ac:dyDescent="0.25">
      <c r="A421" s="27"/>
      <c r="B421" s="27"/>
      <c r="C421" s="27"/>
      <c r="D421" s="6" t="str">
        <f t="shared" si="12"/>
        <v/>
      </c>
      <c r="E421" s="6" t="str">
        <f t="shared" si="13"/>
        <v/>
      </c>
    </row>
    <row r="422" spans="1:5" ht="20.25" customHeight="1" x14ac:dyDescent="0.25">
      <c r="A422" s="27"/>
      <c r="B422" s="27"/>
      <c r="C422" s="27"/>
      <c r="D422" s="6" t="str">
        <f t="shared" si="12"/>
        <v/>
      </c>
      <c r="E422" s="6" t="str">
        <f t="shared" si="13"/>
        <v/>
      </c>
    </row>
    <row r="423" spans="1:5" ht="20.25" customHeight="1" x14ac:dyDescent="0.25">
      <c r="A423" s="27"/>
      <c r="B423" s="27"/>
      <c r="C423" s="27"/>
      <c r="D423" s="6" t="str">
        <f t="shared" si="12"/>
        <v/>
      </c>
      <c r="E423" s="6" t="str">
        <f t="shared" si="13"/>
        <v/>
      </c>
    </row>
    <row r="424" spans="1:5" ht="20.25" customHeight="1" x14ac:dyDescent="0.25">
      <c r="A424" s="27"/>
      <c r="B424" s="27"/>
      <c r="C424" s="27"/>
      <c r="D424" s="6" t="str">
        <f t="shared" si="12"/>
        <v/>
      </c>
      <c r="E424" s="6" t="str">
        <f t="shared" si="13"/>
        <v/>
      </c>
    </row>
    <row r="425" spans="1:5" ht="20.25" customHeight="1" x14ac:dyDescent="0.25">
      <c r="A425" s="27"/>
      <c r="B425" s="27"/>
      <c r="C425" s="27"/>
      <c r="D425" s="6" t="str">
        <f t="shared" si="12"/>
        <v/>
      </c>
      <c r="E425" s="6" t="str">
        <f t="shared" si="13"/>
        <v/>
      </c>
    </row>
    <row r="426" spans="1:5" ht="20.25" customHeight="1" x14ac:dyDescent="0.25">
      <c r="A426" s="27"/>
      <c r="B426" s="27"/>
      <c r="C426" s="27"/>
      <c r="D426" s="6" t="str">
        <f t="shared" si="12"/>
        <v/>
      </c>
      <c r="E426" s="6" t="str">
        <f t="shared" si="13"/>
        <v/>
      </c>
    </row>
    <row r="427" spans="1:5" ht="20.25" customHeight="1" x14ac:dyDescent="0.25">
      <c r="A427" s="27"/>
      <c r="B427" s="27"/>
      <c r="C427" s="27"/>
      <c r="D427" s="6" t="str">
        <f t="shared" si="12"/>
        <v/>
      </c>
      <c r="E427" s="6" t="str">
        <f t="shared" si="13"/>
        <v/>
      </c>
    </row>
    <row r="428" spans="1:5" ht="20.25" customHeight="1" x14ac:dyDescent="0.25">
      <c r="A428" s="27"/>
      <c r="B428" s="27"/>
      <c r="C428" s="27"/>
      <c r="D428" s="6" t="str">
        <f t="shared" si="12"/>
        <v/>
      </c>
      <c r="E428" s="6" t="str">
        <f t="shared" si="13"/>
        <v/>
      </c>
    </row>
    <row r="429" spans="1:5" ht="20.25" customHeight="1" x14ac:dyDescent="0.25">
      <c r="A429" s="27"/>
      <c r="B429" s="27"/>
      <c r="C429" s="27"/>
      <c r="D429" s="6" t="str">
        <f t="shared" si="12"/>
        <v/>
      </c>
      <c r="E429" s="6" t="str">
        <f t="shared" si="13"/>
        <v/>
      </c>
    </row>
    <row r="430" spans="1:5" ht="20.25" customHeight="1" x14ac:dyDescent="0.25">
      <c r="A430" s="27"/>
      <c r="B430" s="27"/>
      <c r="C430" s="27"/>
      <c r="D430" s="6" t="str">
        <f t="shared" si="12"/>
        <v/>
      </c>
      <c r="E430" s="6" t="str">
        <f t="shared" si="13"/>
        <v/>
      </c>
    </row>
    <row r="431" spans="1:5" ht="20.25" customHeight="1" x14ac:dyDescent="0.25">
      <c r="A431" s="27"/>
      <c r="B431" s="27"/>
      <c r="C431" s="27"/>
      <c r="D431" s="6" t="str">
        <f t="shared" si="12"/>
        <v/>
      </c>
      <c r="E431" s="6" t="str">
        <f t="shared" si="13"/>
        <v/>
      </c>
    </row>
    <row r="432" spans="1:5" ht="20.25" customHeight="1" x14ac:dyDescent="0.25">
      <c r="A432" s="27"/>
      <c r="B432" s="27"/>
      <c r="C432" s="27"/>
      <c r="D432" s="6" t="str">
        <f t="shared" si="12"/>
        <v/>
      </c>
      <c r="E432" s="6" t="str">
        <f t="shared" si="13"/>
        <v/>
      </c>
    </row>
    <row r="433" spans="1:5" ht="20.25" customHeight="1" x14ac:dyDescent="0.25">
      <c r="A433" s="27"/>
      <c r="B433" s="27"/>
      <c r="C433" s="27"/>
      <c r="D433" s="6" t="str">
        <f t="shared" si="12"/>
        <v/>
      </c>
      <c r="E433" s="6" t="str">
        <f t="shared" si="13"/>
        <v/>
      </c>
    </row>
    <row r="434" spans="1:5" ht="20.25" customHeight="1" x14ac:dyDescent="0.25">
      <c r="A434" s="27"/>
      <c r="B434" s="27"/>
      <c r="C434" s="27"/>
      <c r="D434" s="6" t="str">
        <f t="shared" si="12"/>
        <v/>
      </c>
      <c r="E434" s="6" t="str">
        <f t="shared" si="13"/>
        <v/>
      </c>
    </row>
    <row r="435" spans="1:5" ht="20.25" customHeight="1" x14ac:dyDescent="0.25">
      <c r="A435" s="27"/>
      <c r="B435" s="27"/>
      <c r="C435" s="27"/>
      <c r="D435" s="6" t="str">
        <f t="shared" si="12"/>
        <v/>
      </c>
      <c r="E435" s="6" t="str">
        <f t="shared" si="13"/>
        <v/>
      </c>
    </row>
    <row r="436" spans="1:5" ht="20.25" customHeight="1" x14ac:dyDescent="0.25">
      <c r="A436" s="27"/>
      <c r="B436" s="27"/>
      <c r="C436" s="27"/>
      <c r="D436" s="6" t="str">
        <f t="shared" si="12"/>
        <v/>
      </c>
      <c r="E436" s="6" t="str">
        <f t="shared" si="13"/>
        <v/>
      </c>
    </row>
    <row r="437" spans="1:5" ht="20.25" customHeight="1" x14ac:dyDescent="0.25">
      <c r="A437" s="27"/>
      <c r="B437" s="27"/>
      <c r="C437" s="27"/>
      <c r="D437" s="6" t="str">
        <f t="shared" si="12"/>
        <v/>
      </c>
      <c r="E437" s="6" t="str">
        <f t="shared" si="13"/>
        <v/>
      </c>
    </row>
    <row r="438" spans="1:5" ht="20.25" customHeight="1" x14ac:dyDescent="0.25">
      <c r="A438" s="27"/>
      <c r="B438" s="27"/>
      <c r="C438" s="27"/>
      <c r="D438" s="6" t="str">
        <f t="shared" si="12"/>
        <v/>
      </c>
      <c r="E438" s="6" t="str">
        <f t="shared" si="13"/>
        <v/>
      </c>
    </row>
    <row r="439" spans="1:5" ht="20.25" customHeight="1" x14ac:dyDescent="0.25">
      <c r="A439" s="27"/>
      <c r="B439" s="27"/>
      <c r="C439" s="27"/>
      <c r="D439" s="6" t="str">
        <f t="shared" si="12"/>
        <v/>
      </c>
      <c r="E439" s="6" t="str">
        <f t="shared" si="13"/>
        <v/>
      </c>
    </row>
    <row r="440" spans="1:5" ht="20.25" customHeight="1" x14ac:dyDescent="0.25">
      <c r="A440" s="27"/>
      <c r="B440" s="27"/>
      <c r="C440" s="27"/>
      <c r="D440" s="6" t="str">
        <f t="shared" si="12"/>
        <v/>
      </c>
      <c r="E440" s="6" t="str">
        <f t="shared" si="13"/>
        <v/>
      </c>
    </row>
    <row r="441" spans="1:5" ht="20.25" customHeight="1" x14ac:dyDescent="0.25">
      <c r="A441" s="27"/>
      <c r="B441" s="27"/>
      <c r="C441" s="27"/>
      <c r="D441" s="6" t="str">
        <f t="shared" si="12"/>
        <v/>
      </c>
      <c r="E441" s="6" t="str">
        <f t="shared" si="13"/>
        <v/>
      </c>
    </row>
    <row r="442" spans="1:5" ht="20.25" customHeight="1" x14ac:dyDescent="0.25">
      <c r="A442" s="27"/>
      <c r="B442" s="27"/>
      <c r="C442" s="27"/>
      <c r="D442" s="6" t="str">
        <f t="shared" si="12"/>
        <v/>
      </c>
      <c r="E442" s="6" t="str">
        <f t="shared" si="13"/>
        <v/>
      </c>
    </row>
    <row r="443" spans="1:5" ht="20.25" customHeight="1" x14ac:dyDescent="0.25">
      <c r="A443" s="27"/>
      <c r="B443" s="27"/>
      <c r="C443" s="27"/>
      <c r="D443" s="6" t="str">
        <f t="shared" si="12"/>
        <v/>
      </c>
      <c r="E443" s="6" t="str">
        <f t="shared" si="13"/>
        <v/>
      </c>
    </row>
    <row r="444" spans="1:5" ht="20.25" customHeight="1" x14ac:dyDescent="0.25">
      <c r="A444" s="27"/>
      <c r="B444" s="27"/>
      <c r="C444" s="27"/>
      <c r="D444" s="6" t="str">
        <f t="shared" si="12"/>
        <v/>
      </c>
      <c r="E444" s="6" t="str">
        <f t="shared" si="13"/>
        <v/>
      </c>
    </row>
    <row r="445" spans="1:5" ht="20.25" customHeight="1" x14ac:dyDescent="0.25">
      <c r="A445" s="27"/>
      <c r="B445" s="27"/>
      <c r="C445" s="27"/>
      <c r="D445" s="6" t="str">
        <f t="shared" si="12"/>
        <v/>
      </c>
      <c r="E445" s="6" t="str">
        <f t="shared" si="13"/>
        <v/>
      </c>
    </row>
    <row r="446" spans="1:5" ht="20.25" customHeight="1" x14ac:dyDescent="0.25">
      <c r="A446" s="27"/>
      <c r="B446" s="27"/>
      <c r="C446" s="27"/>
      <c r="D446" s="6" t="str">
        <f t="shared" si="12"/>
        <v/>
      </c>
      <c r="E446" s="6" t="str">
        <f t="shared" si="13"/>
        <v/>
      </c>
    </row>
    <row r="447" spans="1:5" ht="20.25" customHeight="1" x14ac:dyDescent="0.25">
      <c r="A447" s="27"/>
      <c r="B447" s="27"/>
      <c r="C447" s="27"/>
      <c r="D447" s="6" t="str">
        <f t="shared" si="12"/>
        <v/>
      </c>
      <c r="E447" s="6" t="str">
        <f t="shared" si="13"/>
        <v/>
      </c>
    </row>
    <row r="448" spans="1:5" ht="20.25" customHeight="1" x14ac:dyDescent="0.25">
      <c r="A448" s="27"/>
      <c r="B448" s="27"/>
      <c r="C448" s="27"/>
      <c r="D448" s="6" t="str">
        <f t="shared" si="12"/>
        <v/>
      </c>
      <c r="E448" s="6" t="str">
        <f t="shared" si="13"/>
        <v/>
      </c>
    </row>
    <row r="449" spans="1:5" ht="20.25" customHeight="1" x14ac:dyDescent="0.25">
      <c r="A449" s="27"/>
      <c r="B449" s="27"/>
      <c r="C449" s="27"/>
      <c r="D449" s="6" t="str">
        <f t="shared" si="12"/>
        <v/>
      </c>
      <c r="E449" s="6" t="str">
        <f t="shared" si="13"/>
        <v/>
      </c>
    </row>
    <row r="450" spans="1:5" ht="20.25" customHeight="1" x14ac:dyDescent="0.25">
      <c r="A450" s="27"/>
      <c r="B450" s="27"/>
      <c r="C450" s="27"/>
      <c r="D450" s="6" t="str">
        <f t="shared" si="12"/>
        <v/>
      </c>
      <c r="E450" s="6" t="str">
        <f t="shared" si="13"/>
        <v/>
      </c>
    </row>
    <row r="451" spans="1:5" ht="20.25" customHeight="1" x14ac:dyDescent="0.25">
      <c r="A451" s="27"/>
      <c r="B451" s="27"/>
      <c r="C451" s="27"/>
      <c r="D451" s="6" t="str">
        <f t="shared" si="12"/>
        <v/>
      </c>
      <c r="E451" s="6" t="str">
        <f t="shared" si="13"/>
        <v/>
      </c>
    </row>
    <row r="452" spans="1:5" ht="20.25" customHeight="1" x14ac:dyDescent="0.25">
      <c r="A452" s="27"/>
      <c r="B452" s="27"/>
      <c r="C452" s="27"/>
      <c r="D452" s="6" t="str">
        <f t="shared" si="12"/>
        <v/>
      </c>
      <c r="E452" s="6" t="str">
        <f t="shared" si="13"/>
        <v/>
      </c>
    </row>
    <row r="453" spans="1:5" ht="20.25" customHeight="1" x14ac:dyDescent="0.25">
      <c r="A453" s="27"/>
      <c r="B453" s="27"/>
      <c r="C453" s="27"/>
      <c r="D453" s="6" t="str">
        <f t="shared" ref="D453:D502" si="14">IF(C453="","",IF(C453="PRODUCTION","Taxable (T)",IF(C453="PÉDAGOGIE","Non Taxable (NT)",IF(C453="FONCTIONNEMENT GÉNÉRAL","Mutualisé (M)","ERREUR"))))</f>
        <v/>
      </c>
      <c r="E453" s="6" t="str">
        <f t="shared" ref="E453:E502" si="15">IF(C453="","",IF(C453="PRODUCTION","T",IF(C453="PÉDAGOGIE","NT",IF(C453="FONCTIONNEMENT GÉNÉRAL","M","ERREUR"))))</f>
        <v/>
      </c>
    </row>
    <row r="454" spans="1:5" ht="20.25" customHeight="1" x14ac:dyDescent="0.25">
      <c r="A454" s="27"/>
      <c r="B454" s="27"/>
      <c r="C454" s="27"/>
      <c r="D454" s="6" t="str">
        <f t="shared" si="14"/>
        <v/>
      </c>
      <c r="E454" s="6" t="str">
        <f t="shared" si="15"/>
        <v/>
      </c>
    </row>
    <row r="455" spans="1:5" ht="20.25" customHeight="1" x14ac:dyDescent="0.25">
      <c r="A455" s="27"/>
      <c r="B455" s="27"/>
      <c r="C455" s="27"/>
      <c r="D455" s="6" t="str">
        <f t="shared" si="14"/>
        <v/>
      </c>
      <c r="E455" s="6" t="str">
        <f t="shared" si="15"/>
        <v/>
      </c>
    </row>
    <row r="456" spans="1:5" ht="20.25" customHeight="1" x14ac:dyDescent="0.25">
      <c r="A456" s="27"/>
      <c r="B456" s="27"/>
      <c r="C456" s="27"/>
      <c r="D456" s="6" t="str">
        <f t="shared" si="14"/>
        <v/>
      </c>
      <c r="E456" s="6" t="str">
        <f t="shared" si="15"/>
        <v/>
      </c>
    </row>
    <row r="457" spans="1:5" ht="20.25" customHeight="1" x14ac:dyDescent="0.25">
      <c r="A457" s="27"/>
      <c r="B457" s="27"/>
      <c r="C457" s="27"/>
      <c r="D457" s="6" t="str">
        <f t="shared" si="14"/>
        <v/>
      </c>
      <c r="E457" s="6" t="str">
        <f t="shared" si="15"/>
        <v/>
      </c>
    </row>
    <row r="458" spans="1:5" ht="20.25" customHeight="1" x14ac:dyDescent="0.25">
      <c r="A458" s="27"/>
      <c r="B458" s="27"/>
      <c r="C458" s="27"/>
      <c r="D458" s="6" t="str">
        <f t="shared" si="14"/>
        <v/>
      </c>
      <c r="E458" s="6" t="str">
        <f t="shared" si="15"/>
        <v/>
      </c>
    </row>
    <row r="459" spans="1:5" ht="20.25" customHeight="1" x14ac:dyDescent="0.25">
      <c r="A459" s="27"/>
      <c r="B459" s="27"/>
      <c r="C459" s="27"/>
      <c r="D459" s="6" t="str">
        <f t="shared" si="14"/>
        <v/>
      </c>
      <c r="E459" s="6" t="str">
        <f t="shared" si="15"/>
        <v/>
      </c>
    </row>
    <row r="460" spans="1:5" ht="20.25" customHeight="1" x14ac:dyDescent="0.25">
      <c r="A460" s="27"/>
      <c r="B460" s="27"/>
      <c r="C460" s="27"/>
      <c r="D460" s="6" t="str">
        <f t="shared" si="14"/>
        <v/>
      </c>
      <c r="E460" s="6" t="str">
        <f t="shared" si="15"/>
        <v/>
      </c>
    </row>
    <row r="461" spans="1:5" ht="20.25" customHeight="1" x14ac:dyDescent="0.25">
      <c r="A461" s="27"/>
      <c r="B461" s="27"/>
      <c r="C461" s="27"/>
      <c r="D461" s="6" t="str">
        <f t="shared" si="14"/>
        <v/>
      </c>
      <c r="E461" s="6" t="str">
        <f t="shared" si="15"/>
        <v/>
      </c>
    </row>
    <row r="462" spans="1:5" ht="20.25" customHeight="1" x14ac:dyDescent="0.25">
      <c r="A462" s="27"/>
      <c r="B462" s="27"/>
      <c r="C462" s="27"/>
      <c r="D462" s="6" t="str">
        <f t="shared" si="14"/>
        <v/>
      </c>
      <c r="E462" s="6" t="str">
        <f t="shared" si="15"/>
        <v/>
      </c>
    </row>
    <row r="463" spans="1:5" ht="20.25" customHeight="1" x14ac:dyDescent="0.25">
      <c r="A463" s="27"/>
      <c r="B463" s="27"/>
      <c r="C463" s="27"/>
      <c r="D463" s="6" t="str">
        <f t="shared" si="14"/>
        <v/>
      </c>
      <c r="E463" s="6" t="str">
        <f t="shared" si="15"/>
        <v/>
      </c>
    </row>
    <row r="464" spans="1:5" ht="20.25" customHeight="1" x14ac:dyDescent="0.25">
      <c r="A464" s="27"/>
      <c r="B464" s="27"/>
      <c r="C464" s="27"/>
      <c r="D464" s="6" t="str">
        <f t="shared" si="14"/>
        <v/>
      </c>
      <c r="E464" s="6" t="str">
        <f t="shared" si="15"/>
        <v/>
      </c>
    </row>
    <row r="465" spans="1:5" ht="20.25" customHeight="1" x14ac:dyDescent="0.25">
      <c r="A465" s="27"/>
      <c r="B465" s="27"/>
      <c r="C465" s="27"/>
      <c r="D465" s="6" t="str">
        <f t="shared" si="14"/>
        <v/>
      </c>
      <c r="E465" s="6" t="str">
        <f t="shared" si="15"/>
        <v/>
      </c>
    </row>
    <row r="466" spans="1:5" ht="20.25" customHeight="1" x14ac:dyDescent="0.25">
      <c r="A466" s="27"/>
      <c r="B466" s="27"/>
      <c r="C466" s="27"/>
      <c r="D466" s="6" t="str">
        <f t="shared" si="14"/>
        <v/>
      </c>
      <c r="E466" s="6" t="str">
        <f t="shared" si="15"/>
        <v/>
      </c>
    </row>
    <row r="467" spans="1:5" ht="20.25" customHeight="1" x14ac:dyDescent="0.25">
      <c r="A467" s="27"/>
      <c r="B467" s="27"/>
      <c r="C467" s="27"/>
      <c r="D467" s="6" t="str">
        <f t="shared" si="14"/>
        <v/>
      </c>
      <c r="E467" s="6" t="str">
        <f t="shared" si="15"/>
        <v/>
      </c>
    </row>
    <row r="468" spans="1:5" ht="20.25" customHeight="1" x14ac:dyDescent="0.25">
      <c r="A468" s="27"/>
      <c r="B468" s="27"/>
      <c r="C468" s="27"/>
      <c r="D468" s="6" t="str">
        <f t="shared" si="14"/>
        <v/>
      </c>
      <c r="E468" s="6" t="str">
        <f t="shared" si="15"/>
        <v/>
      </c>
    </row>
    <row r="469" spans="1:5" ht="20.25" customHeight="1" x14ac:dyDescent="0.25">
      <c r="A469" s="27"/>
      <c r="B469" s="27"/>
      <c r="C469" s="27"/>
      <c r="D469" s="6" t="str">
        <f t="shared" si="14"/>
        <v/>
      </c>
      <c r="E469" s="6" t="str">
        <f t="shared" si="15"/>
        <v/>
      </c>
    </row>
    <row r="470" spans="1:5" ht="20.25" customHeight="1" x14ac:dyDescent="0.25">
      <c r="A470" s="27"/>
      <c r="B470" s="27"/>
      <c r="C470" s="27"/>
      <c r="D470" s="6" t="str">
        <f t="shared" si="14"/>
        <v/>
      </c>
      <c r="E470" s="6" t="str">
        <f t="shared" si="15"/>
        <v/>
      </c>
    </row>
    <row r="471" spans="1:5" ht="20.25" customHeight="1" x14ac:dyDescent="0.25">
      <c r="A471" s="27"/>
      <c r="B471" s="27"/>
      <c r="C471" s="27"/>
      <c r="D471" s="6" t="str">
        <f t="shared" si="14"/>
        <v/>
      </c>
      <c r="E471" s="6" t="str">
        <f t="shared" si="15"/>
        <v/>
      </c>
    </row>
    <row r="472" spans="1:5" ht="20.25" customHeight="1" x14ac:dyDescent="0.25">
      <c r="A472" s="27"/>
      <c r="B472" s="27"/>
      <c r="C472" s="27"/>
      <c r="D472" s="6" t="str">
        <f t="shared" si="14"/>
        <v/>
      </c>
      <c r="E472" s="6" t="str">
        <f t="shared" si="15"/>
        <v/>
      </c>
    </row>
    <row r="473" spans="1:5" ht="20.25" customHeight="1" x14ac:dyDescent="0.25">
      <c r="A473" s="27"/>
      <c r="B473" s="27"/>
      <c r="C473" s="27"/>
      <c r="D473" s="6" t="str">
        <f t="shared" si="14"/>
        <v/>
      </c>
      <c r="E473" s="6" t="str">
        <f t="shared" si="15"/>
        <v/>
      </c>
    </row>
    <row r="474" spans="1:5" ht="20.25" customHeight="1" x14ac:dyDescent="0.25">
      <c r="A474" s="27"/>
      <c r="B474" s="27"/>
      <c r="C474" s="27"/>
      <c r="D474" s="6" t="str">
        <f t="shared" si="14"/>
        <v/>
      </c>
      <c r="E474" s="6" t="str">
        <f t="shared" si="15"/>
        <v/>
      </c>
    </row>
    <row r="475" spans="1:5" ht="20.25" customHeight="1" x14ac:dyDescent="0.25">
      <c r="A475" s="27"/>
      <c r="B475" s="27"/>
      <c r="C475" s="27"/>
      <c r="D475" s="6" t="str">
        <f t="shared" si="14"/>
        <v/>
      </c>
      <c r="E475" s="6" t="str">
        <f t="shared" si="15"/>
        <v/>
      </c>
    </row>
    <row r="476" spans="1:5" ht="20.25" customHeight="1" x14ac:dyDescent="0.25">
      <c r="A476" s="27"/>
      <c r="B476" s="27"/>
      <c r="C476" s="27"/>
      <c r="D476" s="6" t="str">
        <f t="shared" si="14"/>
        <v/>
      </c>
      <c r="E476" s="6" t="str">
        <f t="shared" si="15"/>
        <v/>
      </c>
    </row>
    <row r="477" spans="1:5" ht="20.25" customHeight="1" x14ac:dyDescent="0.25">
      <c r="A477" s="27"/>
      <c r="B477" s="27"/>
      <c r="C477" s="27"/>
      <c r="D477" s="6" t="str">
        <f t="shared" si="14"/>
        <v/>
      </c>
      <c r="E477" s="6" t="str">
        <f t="shared" si="15"/>
        <v/>
      </c>
    </row>
    <row r="478" spans="1:5" ht="20.25" customHeight="1" x14ac:dyDescent="0.25">
      <c r="A478" s="27"/>
      <c r="B478" s="27"/>
      <c r="C478" s="27"/>
      <c r="D478" s="6" t="str">
        <f t="shared" si="14"/>
        <v/>
      </c>
      <c r="E478" s="6" t="str">
        <f t="shared" si="15"/>
        <v/>
      </c>
    </row>
    <row r="479" spans="1:5" ht="20.25" customHeight="1" x14ac:dyDescent="0.25">
      <c r="A479" s="27"/>
      <c r="B479" s="27"/>
      <c r="C479" s="27"/>
      <c r="D479" s="6" t="str">
        <f t="shared" si="14"/>
        <v/>
      </c>
      <c r="E479" s="6" t="str">
        <f t="shared" si="15"/>
        <v/>
      </c>
    </row>
    <row r="480" spans="1:5" ht="20.25" customHeight="1" x14ac:dyDescent="0.25">
      <c r="A480" s="27"/>
      <c r="B480" s="27"/>
      <c r="C480" s="27"/>
      <c r="D480" s="6" t="str">
        <f t="shared" si="14"/>
        <v/>
      </c>
      <c r="E480" s="6" t="str">
        <f t="shared" si="15"/>
        <v/>
      </c>
    </row>
    <row r="481" spans="1:5" ht="20.25" customHeight="1" x14ac:dyDescent="0.25">
      <c r="A481" s="27"/>
      <c r="B481" s="27"/>
      <c r="C481" s="27"/>
      <c r="D481" s="6" t="str">
        <f t="shared" si="14"/>
        <v/>
      </c>
      <c r="E481" s="6" t="str">
        <f t="shared" si="15"/>
        <v/>
      </c>
    </row>
    <row r="482" spans="1:5" ht="20.25" customHeight="1" x14ac:dyDescent="0.25">
      <c r="A482" s="27"/>
      <c r="B482" s="27"/>
      <c r="C482" s="27"/>
      <c r="D482" s="6" t="str">
        <f t="shared" si="14"/>
        <v/>
      </c>
      <c r="E482" s="6" t="str">
        <f t="shared" si="15"/>
        <v/>
      </c>
    </row>
    <row r="483" spans="1:5" ht="20.25" customHeight="1" x14ac:dyDescent="0.25">
      <c r="A483" s="27"/>
      <c r="B483" s="27"/>
      <c r="C483" s="27"/>
      <c r="D483" s="6" t="str">
        <f t="shared" si="14"/>
        <v/>
      </c>
      <c r="E483" s="6" t="str">
        <f t="shared" si="15"/>
        <v/>
      </c>
    </row>
    <row r="484" spans="1:5" ht="20.25" customHeight="1" x14ac:dyDescent="0.25">
      <c r="A484" s="27"/>
      <c r="B484" s="27"/>
      <c r="C484" s="27"/>
      <c r="D484" s="6" t="str">
        <f t="shared" si="14"/>
        <v/>
      </c>
      <c r="E484" s="6" t="str">
        <f t="shared" si="15"/>
        <v/>
      </c>
    </row>
    <row r="485" spans="1:5" ht="20.25" customHeight="1" x14ac:dyDescent="0.25">
      <c r="A485" s="27"/>
      <c r="B485" s="27"/>
      <c r="C485" s="27"/>
      <c r="D485" s="6" t="str">
        <f t="shared" si="14"/>
        <v/>
      </c>
      <c r="E485" s="6" t="str">
        <f t="shared" si="15"/>
        <v/>
      </c>
    </row>
    <row r="486" spans="1:5" ht="20.25" customHeight="1" x14ac:dyDescent="0.25">
      <c r="A486" s="27"/>
      <c r="B486" s="27"/>
      <c r="C486" s="27"/>
      <c r="D486" s="6" t="str">
        <f t="shared" si="14"/>
        <v/>
      </c>
      <c r="E486" s="6" t="str">
        <f t="shared" si="15"/>
        <v/>
      </c>
    </row>
    <row r="487" spans="1:5" ht="20.25" customHeight="1" x14ac:dyDescent="0.25">
      <c r="A487" s="27"/>
      <c r="B487" s="27"/>
      <c r="C487" s="27"/>
      <c r="D487" s="6" t="str">
        <f t="shared" si="14"/>
        <v/>
      </c>
      <c r="E487" s="6" t="str">
        <f t="shared" si="15"/>
        <v/>
      </c>
    </row>
    <row r="488" spans="1:5" ht="20.25" customHeight="1" x14ac:dyDescent="0.25">
      <c r="A488" s="27"/>
      <c r="B488" s="27"/>
      <c r="C488" s="27"/>
      <c r="D488" s="6" t="str">
        <f t="shared" si="14"/>
        <v/>
      </c>
      <c r="E488" s="6" t="str">
        <f t="shared" si="15"/>
        <v/>
      </c>
    </row>
    <row r="489" spans="1:5" ht="20.25" customHeight="1" x14ac:dyDescent="0.25">
      <c r="A489" s="27"/>
      <c r="B489" s="27"/>
      <c r="C489" s="27"/>
      <c r="D489" s="6" t="str">
        <f t="shared" si="14"/>
        <v/>
      </c>
      <c r="E489" s="6" t="str">
        <f t="shared" si="15"/>
        <v/>
      </c>
    </row>
    <row r="490" spans="1:5" ht="20.25" customHeight="1" x14ac:dyDescent="0.25">
      <c r="A490" s="27"/>
      <c r="B490" s="27"/>
      <c r="C490" s="27"/>
      <c r="D490" s="6" t="str">
        <f t="shared" si="14"/>
        <v/>
      </c>
      <c r="E490" s="6" t="str">
        <f t="shared" si="15"/>
        <v/>
      </c>
    </row>
    <row r="491" spans="1:5" ht="20.25" customHeight="1" x14ac:dyDescent="0.25">
      <c r="A491" s="27"/>
      <c r="B491" s="27"/>
      <c r="C491" s="27"/>
      <c r="D491" s="6" t="str">
        <f t="shared" si="14"/>
        <v/>
      </c>
      <c r="E491" s="6" t="str">
        <f t="shared" si="15"/>
        <v/>
      </c>
    </row>
    <row r="492" spans="1:5" ht="20.25" customHeight="1" x14ac:dyDescent="0.25">
      <c r="A492" s="27"/>
      <c r="B492" s="27"/>
      <c r="C492" s="27"/>
      <c r="D492" s="6" t="str">
        <f t="shared" si="14"/>
        <v/>
      </c>
      <c r="E492" s="6" t="str">
        <f t="shared" si="15"/>
        <v/>
      </c>
    </row>
    <row r="493" spans="1:5" ht="20.25" customHeight="1" x14ac:dyDescent="0.25">
      <c r="A493" s="27"/>
      <c r="B493" s="27"/>
      <c r="C493" s="27"/>
      <c r="D493" s="6" t="str">
        <f t="shared" si="14"/>
        <v/>
      </c>
      <c r="E493" s="6" t="str">
        <f t="shared" si="15"/>
        <v/>
      </c>
    </row>
    <row r="494" spans="1:5" ht="20.25" customHeight="1" x14ac:dyDescent="0.25">
      <c r="A494" s="27"/>
      <c r="B494" s="27"/>
      <c r="C494" s="27"/>
      <c r="D494" s="6" t="str">
        <f t="shared" si="14"/>
        <v/>
      </c>
      <c r="E494" s="6" t="str">
        <f t="shared" si="15"/>
        <v/>
      </c>
    </row>
    <row r="495" spans="1:5" ht="20.25" customHeight="1" x14ac:dyDescent="0.25">
      <c r="A495" s="27"/>
      <c r="B495" s="27"/>
      <c r="C495" s="27"/>
      <c r="D495" s="6" t="str">
        <f t="shared" si="14"/>
        <v/>
      </c>
      <c r="E495" s="6" t="str">
        <f t="shared" si="15"/>
        <v/>
      </c>
    </row>
    <row r="496" spans="1:5" ht="20.25" customHeight="1" x14ac:dyDescent="0.25">
      <c r="A496" s="27"/>
      <c r="B496" s="27"/>
      <c r="C496" s="27"/>
      <c r="D496" s="6" t="str">
        <f t="shared" si="14"/>
        <v/>
      </c>
      <c r="E496" s="6" t="str">
        <f t="shared" si="15"/>
        <v/>
      </c>
    </row>
    <row r="497" spans="1:5" ht="20.25" customHeight="1" x14ac:dyDescent="0.25">
      <c r="A497" s="27"/>
      <c r="B497" s="27"/>
      <c r="C497" s="27"/>
      <c r="D497" s="6" t="str">
        <f t="shared" si="14"/>
        <v/>
      </c>
      <c r="E497" s="6" t="str">
        <f t="shared" si="15"/>
        <v/>
      </c>
    </row>
    <row r="498" spans="1:5" ht="20.25" customHeight="1" x14ac:dyDescent="0.25">
      <c r="A498" s="27"/>
      <c r="B498" s="27"/>
      <c r="C498" s="27"/>
      <c r="D498" s="6" t="str">
        <f t="shared" si="14"/>
        <v/>
      </c>
      <c r="E498" s="6" t="str">
        <f t="shared" si="15"/>
        <v/>
      </c>
    </row>
    <row r="499" spans="1:5" ht="20.25" customHeight="1" x14ac:dyDescent="0.25">
      <c r="A499" s="27"/>
      <c r="B499" s="27"/>
      <c r="C499" s="27"/>
      <c r="D499" s="6" t="str">
        <f t="shared" si="14"/>
        <v/>
      </c>
      <c r="E499" s="6" t="str">
        <f t="shared" si="15"/>
        <v/>
      </c>
    </row>
    <row r="500" spans="1:5" ht="20.25" customHeight="1" x14ac:dyDescent="0.25">
      <c r="A500" s="27"/>
      <c r="B500" s="27"/>
      <c r="C500" s="27"/>
      <c r="D500" s="6" t="str">
        <f t="shared" si="14"/>
        <v/>
      </c>
      <c r="E500" s="6" t="str">
        <f t="shared" si="15"/>
        <v/>
      </c>
    </row>
    <row r="501" spans="1:5" ht="20.25" customHeight="1" x14ac:dyDescent="0.25">
      <c r="A501" s="2"/>
      <c r="B501" s="2"/>
      <c r="C501" s="2"/>
      <c r="D501" t="str">
        <f t="shared" si="14"/>
        <v/>
      </c>
      <c r="E501" t="str">
        <f t="shared" si="15"/>
        <v/>
      </c>
    </row>
    <row r="502" spans="1:5" ht="20.25" customHeight="1" x14ac:dyDescent="0.25">
      <c r="A502" s="2"/>
      <c r="B502" s="2"/>
      <c r="C502" s="2"/>
      <c r="D502" t="str">
        <f t="shared" si="14"/>
        <v/>
      </c>
      <c r="E502" t="str">
        <f t="shared" si="15"/>
        <v/>
      </c>
    </row>
  </sheetData>
  <sheetProtection sheet="1" selectLockedCells="1"/>
  <mergeCells count="1">
    <mergeCell ref="A1:E1"/>
  </mergeCells>
  <conditionalFormatting sqref="A4:B4">
    <cfRule type="expression" priority="8">
      <formula>$F$4</formula>
    </cfRule>
  </conditionalFormatting>
  <conditionalFormatting sqref="A4:B4">
    <cfRule type="expression" dxfId="14" priority="7">
      <formula>ISNA(F4)</formula>
    </cfRule>
  </conditionalFormatting>
  <conditionalFormatting sqref="A5:B12">
    <cfRule type="expression" priority="6">
      <formula>$F$4</formula>
    </cfRule>
  </conditionalFormatting>
  <conditionalFormatting sqref="A5:B12">
    <cfRule type="expression" dxfId="13" priority="5">
      <formula>ISNA(F5)</formula>
    </cfRule>
  </conditionalFormatting>
  <conditionalFormatting sqref="A13:C500">
    <cfRule type="expression" priority="4">
      <formula>$F$4</formula>
    </cfRule>
  </conditionalFormatting>
  <conditionalFormatting sqref="A13:C500">
    <cfRule type="expression" dxfId="12" priority="3">
      <formula>ISNA(F13)</formula>
    </cfRule>
  </conditionalFormatting>
  <conditionalFormatting sqref="C4:C12">
    <cfRule type="expression" priority="2">
      <formula>$F$4</formula>
    </cfRule>
  </conditionalFormatting>
  <conditionalFormatting sqref="C4:C12">
    <cfRule type="expression" dxfId="11" priority="1">
      <formula>ISNA(H4)</formula>
    </cfRule>
  </conditionalFormatting>
  <dataValidations count="4">
    <dataValidation type="list" allowBlank="1" showInputMessage="1" showErrorMessage="1" sqref="C501:C502" xr:uid="{FAF5B0E4-631C-4DB6-B3DB-97B4895D1B1E}">
      <formula1>$C$4:$C$494</formula1>
    </dataValidation>
    <dataValidation type="list" allowBlank="1" showInputMessage="1" showErrorMessage="1" sqref="C455:C500" xr:uid="{9AD5A561-508B-416E-9659-562A4F33E570}">
      <formula1>"PRODUCTION,PÉDAGOGIE,FONCTIONNEMENT GÉNÉRAL,"</formula1>
    </dataValidation>
    <dataValidation type="list" allowBlank="1" showInputMessage="1" showErrorMessage="1" sqref="C4:C454" xr:uid="{4AAA4244-ECBD-4ECB-B874-97254665681B}">
      <formula1>"PRODUCTION,PÉDAGOGIE,FONCTIONNEMENT GÉNÉRAL, "</formula1>
    </dataValidation>
    <dataValidation type="whole" errorStyle="warning" allowBlank="1" showInputMessage="1" showErrorMessage="1" errorTitle="Attention" error="Merci de saisir des chiffres." sqref="A4:A500" xr:uid="{16BA6962-4CFA-4C6C-AD5B-5392DD6876F9}">
      <formula1>1</formula1>
      <formula2>9999999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3B6B-83B0-4C1B-A71C-79A18F2EA824}">
  <sheetPr codeName="Feuil4">
    <tabColor rgb="FFFFA500"/>
  </sheetPr>
  <dimension ref="A1:G500"/>
  <sheetViews>
    <sheetView showGridLines="0" workbookViewId="0">
      <selection activeCell="A4" sqref="A4"/>
    </sheetView>
  </sheetViews>
  <sheetFormatPr baseColWidth="10" defaultColWidth="9.140625" defaultRowHeight="20.25" customHeight="1" x14ac:dyDescent="0.25"/>
  <cols>
    <col min="1" max="1" width="10.28515625" bestFit="1" customWidth="1"/>
    <col min="2" max="2" width="66.85546875" customWidth="1"/>
    <col min="3" max="3" width="10.5703125" bestFit="1" customWidth="1"/>
    <col min="4" max="4" width="11.42578125" bestFit="1" customWidth="1"/>
    <col min="6" max="6" width="16.42578125" bestFit="1" customWidth="1"/>
    <col min="7" max="7" width="13.7109375" bestFit="1" customWidth="1"/>
  </cols>
  <sheetData>
    <row r="1" spans="1:7" ht="57" customHeight="1" x14ac:dyDescent="0.25">
      <c r="A1" s="59" t="s">
        <v>155</v>
      </c>
      <c r="B1" s="59"/>
      <c r="C1" s="59"/>
      <c r="D1" s="59"/>
      <c r="E1" s="59"/>
      <c r="F1" s="59"/>
      <c r="G1" s="59"/>
    </row>
    <row r="2" spans="1:7" ht="26.25" customHeight="1" x14ac:dyDescent="0.25">
      <c r="A2" s="58" t="s">
        <v>156</v>
      </c>
      <c r="B2" s="58"/>
      <c r="C2" s="58"/>
      <c r="D2" s="58"/>
      <c r="E2" s="58"/>
      <c r="F2" s="58"/>
      <c r="G2" s="58"/>
    </row>
    <row r="3" spans="1:7" ht="37.5" x14ac:dyDescent="0.25">
      <c r="A3" s="5" t="s">
        <v>47</v>
      </c>
      <c r="B3" s="5" t="s">
        <v>157</v>
      </c>
      <c r="C3" s="5" t="s">
        <v>158</v>
      </c>
      <c r="D3" s="5" t="s">
        <v>159</v>
      </c>
      <c r="F3" s="5" t="s">
        <v>50</v>
      </c>
      <c r="G3" s="5" t="s">
        <v>51</v>
      </c>
    </row>
    <row r="4" spans="1:7" ht="20.25" customHeight="1" x14ac:dyDescent="0.25">
      <c r="A4" s="27"/>
      <c r="B4" s="27"/>
      <c r="C4" s="27"/>
      <c r="D4" s="28"/>
      <c r="F4" t="str">
        <f>IF(A4="","",(VLOOKUP(A4,'🧱 Plan comptable source'!A:E,4,FALSE)))</f>
        <v/>
      </c>
      <c r="G4" t="str">
        <f>IF(A4="","",(VLOOKUP(A4,'🧱 Plan comptable source'!A:E,5,FALSE)))</f>
        <v/>
      </c>
    </row>
    <row r="5" spans="1:7" ht="20.25" customHeight="1" x14ac:dyDescent="0.25">
      <c r="A5" s="27"/>
      <c r="B5" s="27"/>
      <c r="C5" s="28"/>
      <c r="D5" s="28"/>
      <c r="F5" t="str">
        <f>IF(A5="","",(VLOOKUP(A5,'🧱 Plan comptable source'!A:E,4,FALSE)))</f>
        <v/>
      </c>
      <c r="G5" t="str">
        <f>IF(A5="","",(VLOOKUP(A5,'🧱 Plan comptable source'!A:E,5,FALSE)))</f>
        <v/>
      </c>
    </row>
    <row r="6" spans="1:7" ht="20.25" customHeight="1" x14ac:dyDescent="0.25">
      <c r="A6" s="27"/>
      <c r="B6" s="27"/>
      <c r="C6" s="27"/>
      <c r="D6" s="28"/>
      <c r="F6" t="str">
        <f>IF(A6="","",(VLOOKUP(A6,'🧱 Plan comptable source'!A:E,4,FALSE)))</f>
        <v/>
      </c>
      <c r="G6" t="str">
        <f>IF(A6="","",(VLOOKUP(A6,'🧱 Plan comptable source'!A:E,5,FALSE)))</f>
        <v/>
      </c>
    </row>
    <row r="7" spans="1:7" ht="20.25" customHeight="1" x14ac:dyDescent="0.25">
      <c r="A7" s="27"/>
      <c r="B7" s="27"/>
      <c r="C7" s="27"/>
      <c r="D7" s="28"/>
      <c r="F7" t="str">
        <f>IF(A7="","",(VLOOKUP(A7,'🧱 Plan comptable source'!A:E,4,FALSE)))</f>
        <v/>
      </c>
      <c r="G7" t="str">
        <f>IF(A7="","",(VLOOKUP(A7,'🧱 Plan comptable source'!A:E,5,FALSE)))</f>
        <v/>
      </c>
    </row>
    <row r="8" spans="1:7" ht="20.25" customHeight="1" x14ac:dyDescent="0.25">
      <c r="A8" s="27"/>
      <c r="B8" s="27"/>
      <c r="C8" s="27"/>
      <c r="D8" s="28"/>
      <c r="F8" t="str">
        <f>IF(A8="","",(VLOOKUP(A8,'🧱 Plan comptable source'!A:E,4,FALSE)))</f>
        <v/>
      </c>
      <c r="G8" t="str">
        <f>IF(A8="","",(VLOOKUP(A8,'🧱 Plan comptable source'!A:E,5,FALSE)))</f>
        <v/>
      </c>
    </row>
    <row r="9" spans="1:7" ht="20.25" customHeight="1" x14ac:dyDescent="0.25">
      <c r="A9" s="27"/>
      <c r="B9" s="27"/>
      <c r="C9" s="28"/>
      <c r="D9" s="28"/>
      <c r="F9" t="str">
        <f>IF(A9="","",(VLOOKUP(A9,'🧱 Plan comptable source'!A:E,4,FALSE)))</f>
        <v/>
      </c>
      <c r="G9" t="str">
        <f>IF(A9="","",(VLOOKUP(A9,'🧱 Plan comptable source'!A:E,5,FALSE)))</f>
        <v/>
      </c>
    </row>
    <row r="10" spans="1:7" ht="20.25" customHeight="1" x14ac:dyDescent="0.25">
      <c r="A10" s="27"/>
      <c r="B10" s="27"/>
      <c r="C10" s="28"/>
      <c r="D10" s="28"/>
      <c r="F10" t="str">
        <f>IF(A10="","",(VLOOKUP(A10,'🧱 Plan comptable source'!A:E,4,FALSE)))</f>
        <v/>
      </c>
      <c r="G10" t="str">
        <f>IF(A10="","",(VLOOKUP(A10,'🧱 Plan comptable source'!A:E,5,FALSE)))</f>
        <v/>
      </c>
    </row>
    <row r="11" spans="1:7" ht="20.25" customHeight="1" x14ac:dyDescent="0.25">
      <c r="A11" s="27"/>
      <c r="B11" s="27"/>
      <c r="C11" s="28"/>
      <c r="D11" s="28"/>
      <c r="F11" t="str">
        <f>IF(A11="","",(VLOOKUP(A11,'🧱 Plan comptable source'!A:E,4,FALSE)))</f>
        <v/>
      </c>
      <c r="G11" t="str">
        <f>IF(A11="","",(VLOOKUP(A11,'🧱 Plan comptable source'!A:E,5,FALSE)))</f>
        <v/>
      </c>
    </row>
    <row r="12" spans="1:7" ht="20.25" customHeight="1" x14ac:dyDescent="0.25">
      <c r="A12" s="27"/>
      <c r="B12" s="27"/>
      <c r="C12" s="28"/>
      <c r="D12" s="28"/>
      <c r="F12" t="str">
        <f>IF(A12="","",(VLOOKUP(A12,'🧱 Plan comptable source'!A:E,4,FALSE)))</f>
        <v/>
      </c>
      <c r="G12" t="str">
        <f>IF(A12="","",(VLOOKUP(A12,'🧱 Plan comptable source'!A:E,5,FALSE)))</f>
        <v/>
      </c>
    </row>
    <row r="13" spans="1:7" ht="20.25" customHeight="1" x14ac:dyDescent="0.25">
      <c r="A13" s="27"/>
      <c r="B13" s="27"/>
      <c r="C13" s="28"/>
      <c r="D13" s="28"/>
      <c r="F13" t="str">
        <f>IF(A13="","",(VLOOKUP(A13,'🧱 Plan comptable source'!A:E,4,FALSE)))</f>
        <v/>
      </c>
      <c r="G13" t="str">
        <f>IF(A13="","",(VLOOKUP(A13,'🧱 Plan comptable source'!A:E,5,FALSE)))</f>
        <v/>
      </c>
    </row>
    <row r="14" spans="1:7" ht="20.25" customHeight="1" x14ac:dyDescent="0.25">
      <c r="A14" s="27"/>
      <c r="B14" s="27"/>
      <c r="C14" s="28"/>
      <c r="D14" s="28"/>
      <c r="F14" t="str">
        <f>IF(A14="","",(VLOOKUP(A14,'🧱 Plan comptable source'!A:E,4,FALSE)))</f>
        <v/>
      </c>
      <c r="G14" t="str">
        <f>IF(A14="","",(VLOOKUP(A14,'🧱 Plan comptable source'!A:E,5,FALSE)))</f>
        <v/>
      </c>
    </row>
    <row r="15" spans="1:7" ht="20.25" customHeight="1" x14ac:dyDescent="0.25">
      <c r="A15" s="27"/>
      <c r="B15" s="27"/>
      <c r="C15" s="28"/>
      <c r="D15" s="28"/>
      <c r="F15" t="str">
        <f>IF(A15="","",(VLOOKUP(A15,'🧱 Plan comptable source'!A:E,4,FALSE)))</f>
        <v/>
      </c>
      <c r="G15" t="str">
        <f>IF(A15="","",(VLOOKUP(A15,'🧱 Plan comptable source'!A:E,5,FALSE)))</f>
        <v/>
      </c>
    </row>
    <row r="16" spans="1:7" ht="20.25" customHeight="1" x14ac:dyDescent="0.25">
      <c r="A16" s="27"/>
      <c r="B16" s="27"/>
      <c r="C16" s="28"/>
      <c r="D16" s="28"/>
      <c r="F16" t="str">
        <f>IF(A16="","",(VLOOKUP(A16,'🧱 Plan comptable source'!A:E,4,FALSE)))</f>
        <v/>
      </c>
      <c r="G16" t="str">
        <f>IF(A16="","",(VLOOKUP(A16,'🧱 Plan comptable source'!A:E,5,FALSE)))</f>
        <v/>
      </c>
    </row>
    <row r="17" spans="1:7" ht="20.25" customHeight="1" x14ac:dyDescent="0.25">
      <c r="A17" s="27"/>
      <c r="B17" s="27"/>
      <c r="C17" s="28"/>
      <c r="D17" s="28"/>
      <c r="F17" t="str">
        <f>IF(A17="","",(VLOOKUP(A17,'🧱 Plan comptable source'!A:E,4,FALSE)))</f>
        <v/>
      </c>
      <c r="G17" t="str">
        <f>IF(A17="","",(VLOOKUP(A17,'🧱 Plan comptable source'!A:E,5,FALSE)))</f>
        <v/>
      </c>
    </row>
    <row r="18" spans="1:7" ht="20.25" customHeight="1" x14ac:dyDescent="0.25">
      <c r="A18" s="27"/>
      <c r="B18" s="27"/>
      <c r="C18" s="28"/>
      <c r="D18" s="28"/>
      <c r="F18" t="str">
        <f>IF(A18="","",(VLOOKUP(A18,'🧱 Plan comptable source'!A:E,4,FALSE)))</f>
        <v/>
      </c>
      <c r="G18" t="str">
        <f>IF(A18="","",(VLOOKUP(A18,'🧱 Plan comptable source'!A:E,5,FALSE)))</f>
        <v/>
      </c>
    </row>
    <row r="19" spans="1:7" ht="20.25" customHeight="1" x14ac:dyDescent="0.25">
      <c r="A19" s="27"/>
      <c r="B19" s="27"/>
      <c r="C19" s="28"/>
      <c r="D19" s="28"/>
      <c r="F19" t="str">
        <f>IF(A19="","",(VLOOKUP(A19,'🧱 Plan comptable source'!A:E,4,FALSE)))</f>
        <v/>
      </c>
      <c r="G19" t="str">
        <f>IF(A19="","",(VLOOKUP(A19,'🧱 Plan comptable source'!A:E,5,FALSE)))</f>
        <v/>
      </c>
    </row>
    <row r="20" spans="1:7" ht="20.25" customHeight="1" x14ac:dyDescent="0.25">
      <c r="A20" s="27"/>
      <c r="B20" s="27"/>
      <c r="C20" s="28"/>
      <c r="D20" s="28"/>
      <c r="F20" t="str">
        <f>IF(A20="","",(VLOOKUP(A20,'🧱 Plan comptable source'!A:E,4,FALSE)))</f>
        <v/>
      </c>
      <c r="G20" t="str">
        <f>IF(A20="","",(VLOOKUP(A20,'🧱 Plan comptable source'!A:E,5,FALSE)))</f>
        <v/>
      </c>
    </row>
    <row r="21" spans="1:7" ht="20.25" customHeight="1" x14ac:dyDescent="0.25">
      <c r="A21" s="27"/>
      <c r="B21" s="27"/>
      <c r="C21" s="28"/>
      <c r="D21" s="28"/>
      <c r="F21" t="str">
        <f>IF(A21="","",(VLOOKUP(A21,'🧱 Plan comptable source'!A:E,4,FALSE)))</f>
        <v/>
      </c>
      <c r="G21" t="str">
        <f>IF(A21="","",(VLOOKUP(A21,'🧱 Plan comptable source'!A:E,5,FALSE)))</f>
        <v/>
      </c>
    </row>
    <row r="22" spans="1:7" ht="20.25" customHeight="1" x14ac:dyDescent="0.25">
      <c r="A22" s="27"/>
      <c r="B22" s="27"/>
      <c r="C22" s="28"/>
      <c r="D22" s="28"/>
      <c r="F22" t="str">
        <f>IF(A22="","",(VLOOKUP(A22,'🧱 Plan comptable source'!A:E,4,FALSE)))</f>
        <v/>
      </c>
      <c r="G22" t="str">
        <f>IF(A22="","",(VLOOKUP(A22,'🧱 Plan comptable source'!A:E,5,FALSE)))</f>
        <v/>
      </c>
    </row>
    <row r="23" spans="1:7" ht="20.25" customHeight="1" x14ac:dyDescent="0.25">
      <c r="A23" s="27"/>
      <c r="B23" s="27"/>
      <c r="C23" s="28"/>
      <c r="D23" s="28"/>
      <c r="F23" t="str">
        <f>IF(A23="","",(VLOOKUP(A23,'🧱 Plan comptable source'!A:E,4,FALSE)))</f>
        <v/>
      </c>
      <c r="G23" t="str">
        <f>IF(A23="","",(VLOOKUP(A23,'🧱 Plan comptable source'!A:E,5,FALSE)))</f>
        <v/>
      </c>
    </row>
    <row r="24" spans="1:7" ht="20.25" customHeight="1" x14ac:dyDescent="0.25">
      <c r="A24" s="27"/>
      <c r="B24" s="27"/>
      <c r="C24" s="28"/>
      <c r="D24" s="28"/>
      <c r="F24" t="str">
        <f>IF(A24="","",(VLOOKUP(A24,'🧱 Plan comptable source'!A:E,4,FALSE)))</f>
        <v/>
      </c>
      <c r="G24" t="str">
        <f>IF(A24="","",(VLOOKUP(A24,'🧱 Plan comptable source'!A:E,5,FALSE)))</f>
        <v/>
      </c>
    </row>
    <row r="25" spans="1:7" ht="20.25" customHeight="1" x14ac:dyDescent="0.25">
      <c r="A25" s="27"/>
      <c r="B25" s="27"/>
      <c r="C25" s="28"/>
      <c r="D25" s="28"/>
      <c r="F25" t="str">
        <f>IF(A25="","",(VLOOKUP(A25,'🧱 Plan comptable source'!A:E,4,FALSE)))</f>
        <v/>
      </c>
      <c r="G25" t="str">
        <f>IF(A25="","",(VLOOKUP(A25,'🧱 Plan comptable source'!A:E,5,FALSE)))</f>
        <v/>
      </c>
    </row>
    <row r="26" spans="1:7" ht="20.25" customHeight="1" x14ac:dyDescent="0.25">
      <c r="A26" s="27"/>
      <c r="B26" s="27"/>
      <c r="C26" s="28"/>
      <c r="D26" s="28"/>
      <c r="F26" t="str">
        <f>IF(A26="","",(VLOOKUP(A26,'🧱 Plan comptable source'!A:E,4,FALSE)))</f>
        <v/>
      </c>
      <c r="G26" t="str">
        <f>IF(A26="","",(VLOOKUP(A26,'🧱 Plan comptable source'!A:E,5,FALSE)))</f>
        <v/>
      </c>
    </row>
    <row r="27" spans="1:7" ht="20.25" customHeight="1" x14ac:dyDescent="0.25">
      <c r="A27" s="27"/>
      <c r="B27" s="27"/>
      <c r="C27" s="28"/>
      <c r="D27" s="28"/>
      <c r="F27" t="str">
        <f>IF(A27="","",(VLOOKUP(A27,'🧱 Plan comptable source'!A:E,4,FALSE)))</f>
        <v/>
      </c>
      <c r="G27" t="str">
        <f>IF(A27="","",(VLOOKUP(A27,'🧱 Plan comptable source'!A:E,5,FALSE)))</f>
        <v/>
      </c>
    </row>
    <row r="28" spans="1:7" ht="20.25" customHeight="1" x14ac:dyDescent="0.25">
      <c r="A28" s="27"/>
      <c r="B28" s="27"/>
      <c r="C28" s="28"/>
      <c r="D28" s="28"/>
      <c r="F28" t="str">
        <f>IF(A28="","",(VLOOKUP(A28,'🧱 Plan comptable source'!A:E,4,FALSE)))</f>
        <v/>
      </c>
      <c r="G28" t="str">
        <f>IF(A28="","",(VLOOKUP(A28,'🧱 Plan comptable source'!A:E,5,FALSE)))</f>
        <v/>
      </c>
    </row>
    <row r="29" spans="1:7" ht="20.25" customHeight="1" x14ac:dyDescent="0.25">
      <c r="A29" s="27"/>
      <c r="B29" s="27"/>
      <c r="C29" s="28"/>
      <c r="D29" s="28"/>
      <c r="F29" t="str">
        <f>IF(A29="","",(VLOOKUP(A29,'🧱 Plan comptable source'!A:E,4,FALSE)))</f>
        <v/>
      </c>
      <c r="G29" t="str">
        <f>IF(A29="","",(VLOOKUP(A29,'🧱 Plan comptable source'!A:E,5,FALSE)))</f>
        <v/>
      </c>
    </row>
    <row r="30" spans="1:7" ht="20.25" customHeight="1" x14ac:dyDescent="0.25">
      <c r="A30" s="27"/>
      <c r="B30" s="27"/>
      <c r="C30" s="28"/>
      <c r="D30" s="28"/>
      <c r="F30" t="str">
        <f>IF(A30="","",(VLOOKUP(A30,'🧱 Plan comptable source'!A:E,4,FALSE)))</f>
        <v/>
      </c>
      <c r="G30" t="str">
        <f>IF(A30="","",(VLOOKUP(A30,'🧱 Plan comptable source'!A:E,5,FALSE)))</f>
        <v/>
      </c>
    </row>
    <row r="31" spans="1:7" ht="20.25" customHeight="1" x14ac:dyDescent="0.25">
      <c r="A31" s="27"/>
      <c r="B31" s="27"/>
      <c r="C31" s="28"/>
      <c r="D31" s="28"/>
      <c r="F31" t="str">
        <f>IF(A31="","",(VLOOKUP(A31,'🧱 Plan comptable source'!A:E,4,FALSE)))</f>
        <v/>
      </c>
      <c r="G31" t="str">
        <f>IF(A31="","",(VLOOKUP(A31,'🧱 Plan comptable source'!A:E,5,FALSE)))</f>
        <v/>
      </c>
    </row>
    <row r="32" spans="1:7" ht="20.25" customHeight="1" x14ac:dyDescent="0.25">
      <c r="A32" s="27"/>
      <c r="B32" s="27"/>
      <c r="C32" s="28"/>
      <c r="D32" s="28"/>
      <c r="F32" t="str">
        <f>IF(A32="","",(VLOOKUP(A32,'🧱 Plan comptable source'!A:E,4,FALSE)))</f>
        <v/>
      </c>
      <c r="G32" t="str">
        <f>IF(A32="","",(VLOOKUP(A32,'🧱 Plan comptable source'!A:E,5,FALSE)))</f>
        <v/>
      </c>
    </row>
    <row r="33" spans="1:7" ht="20.25" customHeight="1" x14ac:dyDescent="0.25">
      <c r="A33" s="27"/>
      <c r="B33" s="27"/>
      <c r="C33" s="28"/>
      <c r="D33" s="28"/>
      <c r="F33" t="str">
        <f>IF(A33="","",(VLOOKUP(A33,'🧱 Plan comptable source'!A:E,4,FALSE)))</f>
        <v/>
      </c>
      <c r="G33" t="str">
        <f>IF(A33="","",(VLOOKUP(A33,'🧱 Plan comptable source'!A:E,5,FALSE)))</f>
        <v/>
      </c>
    </row>
    <row r="34" spans="1:7" ht="20.25" customHeight="1" x14ac:dyDescent="0.25">
      <c r="A34" s="27"/>
      <c r="B34" s="27"/>
      <c r="C34" s="28"/>
      <c r="D34" s="28"/>
      <c r="F34" t="str">
        <f>IF(A34="","",(VLOOKUP(A34,'🧱 Plan comptable source'!A:E,4,FALSE)))</f>
        <v/>
      </c>
      <c r="G34" t="str">
        <f>IF(A34="","",(VLOOKUP(A34,'🧱 Plan comptable source'!A:E,5,FALSE)))</f>
        <v/>
      </c>
    </row>
    <row r="35" spans="1:7" ht="20.25" customHeight="1" x14ac:dyDescent="0.25">
      <c r="A35" s="27"/>
      <c r="B35" s="27"/>
      <c r="C35" s="28"/>
      <c r="D35" s="28"/>
      <c r="F35" t="str">
        <f>IF(A35="","",(VLOOKUP(A35,'🧱 Plan comptable source'!A:E,4,FALSE)))</f>
        <v/>
      </c>
      <c r="G35" t="str">
        <f>IF(A35="","",(VLOOKUP(A35,'🧱 Plan comptable source'!A:E,5,FALSE)))</f>
        <v/>
      </c>
    </row>
    <row r="36" spans="1:7" ht="20.25" customHeight="1" x14ac:dyDescent="0.25">
      <c r="A36" s="27"/>
      <c r="B36" s="27"/>
      <c r="C36" s="28"/>
      <c r="D36" s="28"/>
      <c r="F36" t="str">
        <f>IF(A36="","",(VLOOKUP(A36,'🧱 Plan comptable source'!A:E,4,FALSE)))</f>
        <v/>
      </c>
      <c r="G36" t="str">
        <f>IF(A36="","",(VLOOKUP(A36,'🧱 Plan comptable source'!A:E,5,FALSE)))</f>
        <v/>
      </c>
    </row>
    <row r="37" spans="1:7" ht="20.25" customHeight="1" x14ac:dyDescent="0.25">
      <c r="A37" s="27"/>
      <c r="B37" s="27"/>
      <c r="C37" s="28"/>
      <c r="D37" s="28"/>
      <c r="F37" t="str">
        <f>IF(A37="","",(VLOOKUP(A37,'🧱 Plan comptable source'!A:E,4,FALSE)))</f>
        <v/>
      </c>
      <c r="G37" t="str">
        <f>IF(A37="","",(VLOOKUP(A37,'🧱 Plan comptable source'!A:E,5,FALSE)))</f>
        <v/>
      </c>
    </row>
    <row r="38" spans="1:7" ht="20.25" customHeight="1" x14ac:dyDescent="0.25">
      <c r="A38" s="27"/>
      <c r="B38" s="27"/>
      <c r="C38" s="28"/>
      <c r="D38" s="28"/>
      <c r="F38" t="str">
        <f>IF(A38="","",(VLOOKUP(A38,'🧱 Plan comptable source'!A:E,4,FALSE)))</f>
        <v/>
      </c>
      <c r="G38" t="str">
        <f>IF(A38="","",(VLOOKUP(A38,'🧱 Plan comptable source'!A:E,5,FALSE)))</f>
        <v/>
      </c>
    </row>
    <row r="39" spans="1:7" ht="20.25" customHeight="1" x14ac:dyDescent="0.25">
      <c r="A39" s="27"/>
      <c r="B39" s="27"/>
      <c r="C39" s="28"/>
      <c r="D39" s="28"/>
      <c r="F39" t="str">
        <f>IF(A39="","",(VLOOKUP(A39,'🧱 Plan comptable source'!A:E,4,FALSE)))</f>
        <v/>
      </c>
      <c r="G39" t="str">
        <f>IF(A39="","",(VLOOKUP(A39,'🧱 Plan comptable source'!A:E,5,FALSE)))</f>
        <v/>
      </c>
    </row>
    <row r="40" spans="1:7" ht="20.25" customHeight="1" x14ac:dyDescent="0.25">
      <c r="A40" s="27"/>
      <c r="B40" s="27"/>
      <c r="C40" s="28"/>
      <c r="D40" s="28"/>
      <c r="F40" t="str">
        <f>IF(A40="","",(VLOOKUP(A40,'🧱 Plan comptable source'!A:E,4,FALSE)))</f>
        <v/>
      </c>
      <c r="G40" t="str">
        <f>IF(A40="","",(VLOOKUP(A40,'🧱 Plan comptable source'!A:E,5,FALSE)))</f>
        <v/>
      </c>
    </row>
    <row r="41" spans="1:7" ht="20.25" customHeight="1" x14ac:dyDescent="0.25">
      <c r="A41" s="27"/>
      <c r="B41" s="27"/>
      <c r="C41" s="28"/>
      <c r="D41" s="28"/>
      <c r="F41" t="str">
        <f>IF(A41="","",(VLOOKUP(A41,'🧱 Plan comptable source'!A:E,4,FALSE)))</f>
        <v/>
      </c>
      <c r="G41" t="str">
        <f>IF(A41="","",(VLOOKUP(A41,'🧱 Plan comptable source'!A:E,5,FALSE)))</f>
        <v/>
      </c>
    </row>
    <row r="42" spans="1:7" ht="20.25" customHeight="1" x14ac:dyDescent="0.25">
      <c r="A42" s="27"/>
      <c r="B42" s="27"/>
      <c r="C42" s="28"/>
      <c r="D42" s="28"/>
      <c r="F42" t="str">
        <f>IF(A42="","",(VLOOKUP(A42,'🧱 Plan comptable source'!A:E,4,FALSE)))</f>
        <v/>
      </c>
      <c r="G42" t="str">
        <f>IF(A42="","",(VLOOKUP(A42,'🧱 Plan comptable source'!A:E,5,FALSE)))</f>
        <v/>
      </c>
    </row>
    <row r="43" spans="1:7" ht="20.25" customHeight="1" x14ac:dyDescent="0.25">
      <c r="A43" s="27"/>
      <c r="B43" s="27"/>
      <c r="C43" s="28"/>
      <c r="D43" s="28"/>
      <c r="F43" t="str">
        <f>IF(A43="","",(VLOOKUP(A43,'🧱 Plan comptable source'!A:E,4,FALSE)))</f>
        <v/>
      </c>
      <c r="G43" t="str">
        <f>IF(A43="","",(VLOOKUP(A43,'🧱 Plan comptable source'!A:E,5,FALSE)))</f>
        <v/>
      </c>
    </row>
    <row r="44" spans="1:7" ht="20.25" customHeight="1" x14ac:dyDescent="0.25">
      <c r="A44" s="27"/>
      <c r="B44" s="27"/>
      <c r="C44" s="28"/>
      <c r="D44" s="28"/>
      <c r="F44" t="str">
        <f>IF(A44="","",(VLOOKUP(A44,'🧱 Plan comptable source'!A:E,4,FALSE)))</f>
        <v/>
      </c>
      <c r="G44" t="str">
        <f>IF(A44="","",(VLOOKUP(A44,'🧱 Plan comptable source'!A:E,5,FALSE)))</f>
        <v/>
      </c>
    </row>
    <row r="45" spans="1:7" ht="20.25" customHeight="1" x14ac:dyDescent="0.25">
      <c r="A45" s="27"/>
      <c r="B45" s="27"/>
      <c r="C45" s="28"/>
      <c r="D45" s="28"/>
      <c r="F45" t="str">
        <f>IF(A45="","",(VLOOKUP(A45,'🧱 Plan comptable source'!A:E,4,FALSE)))</f>
        <v/>
      </c>
      <c r="G45" t="str">
        <f>IF(A45="","",(VLOOKUP(A45,'🧱 Plan comptable source'!A:E,5,FALSE)))</f>
        <v/>
      </c>
    </row>
    <row r="46" spans="1:7" ht="20.25" customHeight="1" x14ac:dyDescent="0.25">
      <c r="A46" s="27"/>
      <c r="B46" s="27"/>
      <c r="C46" s="28"/>
      <c r="D46" s="28"/>
      <c r="F46" t="str">
        <f>IF(A46="","",(VLOOKUP(A46,'🧱 Plan comptable source'!A:E,4,FALSE)))</f>
        <v/>
      </c>
      <c r="G46" t="str">
        <f>IF(A46="","",(VLOOKUP(A46,'🧱 Plan comptable source'!A:E,5,FALSE)))</f>
        <v/>
      </c>
    </row>
    <row r="47" spans="1:7" ht="20.25" customHeight="1" x14ac:dyDescent="0.25">
      <c r="A47" s="27"/>
      <c r="B47" s="27"/>
      <c r="C47" s="28"/>
      <c r="D47" s="28"/>
      <c r="F47" t="str">
        <f>IF(A47="","",(VLOOKUP(A47,'🧱 Plan comptable source'!A:E,4,FALSE)))</f>
        <v/>
      </c>
      <c r="G47" t="str">
        <f>IF(A47="","",(VLOOKUP(A47,'🧱 Plan comptable source'!A:E,5,FALSE)))</f>
        <v/>
      </c>
    </row>
    <row r="48" spans="1:7" ht="20.25" customHeight="1" x14ac:dyDescent="0.25">
      <c r="A48" s="27"/>
      <c r="B48" s="27"/>
      <c r="C48" s="28"/>
      <c r="D48" s="28"/>
      <c r="F48" t="str">
        <f>IF(A48="","",(VLOOKUP(A48,'🧱 Plan comptable source'!A:E,4,FALSE)))</f>
        <v/>
      </c>
      <c r="G48" t="str">
        <f>IF(A48="","",(VLOOKUP(A48,'🧱 Plan comptable source'!A:E,5,FALSE)))</f>
        <v/>
      </c>
    </row>
    <row r="49" spans="1:7" ht="20.25" customHeight="1" x14ac:dyDescent="0.25">
      <c r="A49" s="27"/>
      <c r="B49" s="27"/>
      <c r="C49" s="28"/>
      <c r="D49" s="28"/>
      <c r="F49" t="str">
        <f>IF(A49="","",(VLOOKUP(A49,'🧱 Plan comptable source'!A:E,4,FALSE)))</f>
        <v/>
      </c>
      <c r="G49" t="str">
        <f>IF(A49="","",(VLOOKUP(A49,'🧱 Plan comptable source'!A:E,5,FALSE)))</f>
        <v/>
      </c>
    </row>
    <row r="50" spans="1:7" ht="20.25" customHeight="1" x14ac:dyDescent="0.25">
      <c r="A50" s="27"/>
      <c r="B50" s="27"/>
      <c r="C50" s="28"/>
      <c r="D50" s="28"/>
      <c r="F50" t="str">
        <f>IF(A50="","",(VLOOKUP(A50,'🧱 Plan comptable source'!A:E,4,FALSE)))</f>
        <v/>
      </c>
      <c r="G50" t="str">
        <f>IF(A50="","",(VLOOKUP(A50,'🧱 Plan comptable source'!A:E,5,FALSE)))</f>
        <v/>
      </c>
    </row>
    <row r="51" spans="1:7" ht="20.25" customHeight="1" x14ac:dyDescent="0.25">
      <c r="A51" s="27"/>
      <c r="B51" s="27"/>
      <c r="C51" s="28"/>
      <c r="D51" s="28"/>
      <c r="F51" t="str">
        <f>IF(A51="","",(VLOOKUP(A51,'🧱 Plan comptable source'!A:E,4,FALSE)))</f>
        <v/>
      </c>
      <c r="G51" t="str">
        <f>IF(A51="","",(VLOOKUP(A51,'🧱 Plan comptable source'!A:E,5,FALSE)))</f>
        <v/>
      </c>
    </row>
    <row r="52" spans="1:7" ht="20.25" customHeight="1" x14ac:dyDescent="0.25">
      <c r="A52" s="27"/>
      <c r="B52" s="27"/>
      <c r="C52" s="28"/>
      <c r="D52" s="28"/>
      <c r="F52" t="str">
        <f>IF(A52="","",(VLOOKUP(A52,'🧱 Plan comptable source'!A:E,4,FALSE)))</f>
        <v/>
      </c>
      <c r="G52" t="str">
        <f>IF(A52="","",(VLOOKUP(A52,'🧱 Plan comptable source'!A:E,5,FALSE)))</f>
        <v/>
      </c>
    </row>
    <row r="53" spans="1:7" ht="20.25" customHeight="1" x14ac:dyDescent="0.25">
      <c r="A53" s="27"/>
      <c r="B53" s="27"/>
      <c r="C53" s="28"/>
      <c r="D53" s="28"/>
      <c r="F53" t="str">
        <f>IF(A53="","",(VLOOKUP(A53,'🧱 Plan comptable source'!A:E,4,FALSE)))</f>
        <v/>
      </c>
      <c r="G53" t="str">
        <f>IF(A53="","",(VLOOKUP(A53,'🧱 Plan comptable source'!A:E,5,FALSE)))</f>
        <v/>
      </c>
    </row>
    <row r="54" spans="1:7" ht="20.25" customHeight="1" x14ac:dyDescent="0.25">
      <c r="A54" s="27"/>
      <c r="B54" s="27"/>
      <c r="C54" s="28"/>
      <c r="D54" s="28"/>
      <c r="F54" t="str">
        <f>IF(A54="","",(VLOOKUP(A54,'🧱 Plan comptable source'!A:E,4,FALSE)))</f>
        <v/>
      </c>
      <c r="G54" t="str">
        <f>IF(A54="","",(VLOOKUP(A54,'🧱 Plan comptable source'!A:E,5,FALSE)))</f>
        <v/>
      </c>
    </row>
    <row r="55" spans="1:7" ht="20.25" customHeight="1" x14ac:dyDescent="0.25">
      <c r="A55" s="27"/>
      <c r="B55" s="27"/>
      <c r="C55" s="28"/>
      <c r="D55" s="28"/>
      <c r="F55" t="str">
        <f>IF(A55="","",(VLOOKUP(A55,'🧱 Plan comptable source'!A:E,4,FALSE)))</f>
        <v/>
      </c>
      <c r="G55" t="str">
        <f>IF(A55="","",(VLOOKUP(A55,'🧱 Plan comptable source'!A:E,5,FALSE)))</f>
        <v/>
      </c>
    </row>
    <row r="56" spans="1:7" ht="20.25" customHeight="1" x14ac:dyDescent="0.25">
      <c r="A56" s="27"/>
      <c r="B56" s="27"/>
      <c r="C56" s="28"/>
      <c r="D56" s="28"/>
      <c r="F56" t="str">
        <f>IF(A56="","",(VLOOKUP(A56,'🧱 Plan comptable source'!A:E,4,FALSE)))</f>
        <v/>
      </c>
      <c r="G56" t="str">
        <f>IF(A56="","",(VLOOKUP(A56,'🧱 Plan comptable source'!A:E,5,FALSE)))</f>
        <v/>
      </c>
    </row>
    <row r="57" spans="1:7" ht="20.25" customHeight="1" x14ac:dyDescent="0.25">
      <c r="A57" s="27"/>
      <c r="B57" s="27"/>
      <c r="C57" s="28"/>
      <c r="D57" s="28"/>
      <c r="F57" t="str">
        <f>IF(A57="","",(VLOOKUP(A57,'🧱 Plan comptable source'!A:E,4,FALSE)))</f>
        <v/>
      </c>
      <c r="G57" t="str">
        <f>IF(A57="","",(VLOOKUP(A57,'🧱 Plan comptable source'!A:E,5,FALSE)))</f>
        <v/>
      </c>
    </row>
    <row r="58" spans="1:7" ht="20.25" customHeight="1" x14ac:dyDescent="0.25">
      <c r="A58" s="27"/>
      <c r="B58" s="27"/>
      <c r="C58" s="28"/>
      <c r="D58" s="28"/>
      <c r="F58" t="str">
        <f>IF(A58="","",(VLOOKUP(A58,'🧱 Plan comptable source'!A:E,4,FALSE)))</f>
        <v/>
      </c>
      <c r="G58" t="str">
        <f>IF(A58="","",(VLOOKUP(A58,'🧱 Plan comptable source'!A:E,5,FALSE)))</f>
        <v/>
      </c>
    </row>
    <row r="59" spans="1:7" ht="20.25" customHeight="1" x14ac:dyDescent="0.25">
      <c r="A59" s="27"/>
      <c r="B59" s="27"/>
      <c r="C59" s="28"/>
      <c r="D59" s="28"/>
      <c r="F59" t="str">
        <f>IF(A59="","",(VLOOKUP(A59,'🧱 Plan comptable source'!A:E,4,FALSE)))</f>
        <v/>
      </c>
      <c r="G59" t="str">
        <f>IF(A59="","",(VLOOKUP(A59,'🧱 Plan comptable source'!A:E,5,FALSE)))</f>
        <v/>
      </c>
    </row>
    <row r="60" spans="1:7" ht="20.25" customHeight="1" x14ac:dyDescent="0.25">
      <c r="A60" s="27"/>
      <c r="B60" s="27"/>
      <c r="C60" s="28"/>
      <c r="D60" s="28"/>
      <c r="F60" t="str">
        <f>IF(A60="","",(VLOOKUP(A60,'🧱 Plan comptable source'!A:E,4,FALSE)))</f>
        <v/>
      </c>
      <c r="G60" t="str">
        <f>IF(A60="","",(VLOOKUP(A60,'🧱 Plan comptable source'!A:E,5,FALSE)))</f>
        <v/>
      </c>
    </row>
    <row r="61" spans="1:7" ht="20.25" customHeight="1" x14ac:dyDescent="0.25">
      <c r="A61" s="27"/>
      <c r="B61" s="27"/>
      <c r="C61" s="28"/>
      <c r="D61" s="28"/>
      <c r="F61" t="str">
        <f>IF(A61="","",(VLOOKUP(A61,'🧱 Plan comptable source'!A:E,4,FALSE)))</f>
        <v/>
      </c>
      <c r="G61" t="str">
        <f>IF(A61="","",(VLOOKUP(A61,'🧱 Plan comptable source'!A:E,5,FALSE)))</f>
        <v/>
      </c>
    </row>
    <row r="62" spans="1:7" ht="20.25" customHeight="1" x14ac:dyDescent="0.25">
      <c r="A62" s="27"/>
      <c r="B62" s="27"/>
      <c r="C62" s="28"/>
      <c r="D62" s="28"/>
      <c r="F62" t="str">
        <f>IF(A62="","",(VLOOKUP(A62,'🧱 Plan comptable source'!A:E,4,FALSE)))</f>
        <v/>
      </c>
      <c r="G62" t="str">
        <f>IF(A62="","",(VLOOKUP(A62,'🧱 Plan comptable source'!A:E,5,FALSE)))</f>
        <v/>
      </c>
    </row>
    <row r="63" spans="1:7" ht="20.25" customHeight="1" x14ac:dyDescent="0.25">
      <c r="A63" s="27"/>
      <c r="B63" s="27"/>
      <c r="C63" s="28"/>
      <c r="D63" s="28"/>
      <c r="F63" t="str">
        <f>IF(A63="","",(VLOOKUP(A63,'🧱 Plan comptable source'!A:E,4,FALSE)))</f>
        <v/>
      </c>
      <c r="G63" t="str">
        <f>IF(A63="","",(VLOOKUP(A63,'🧱 Plan comptable source'!A:E,5,FALSE)))</f>
        <v/>
      </c>
    </row>
    <row r="64" spans="1:7" ht="20.25" customHeight="1" x14ac:dyDescent="0.25">
      <c r="A64" s="27"/>
      <c r="B64" s="27"/>
      <c r="C64" s="28"/>
      <c r="D64" s="28"/>
      <c r="F64" t="str">
        <f>IF(A64="","",(VLOOKUP(A64,'🧱 Plan comptable source'!A:E,4,FALSE)))</f>
        <v/>
      </c>
      <c r="G64" t="str">
        <f>IF(A64="","",(VLOOKUP(A64,'🧱 Plan comptable source'!A:E,5,FALSE)))</f>
        <v/>
      </c>
    </row>
    <row r="65" spans="1:7" ht="20.25" customHeight="1" x14ac:dyDescent="0.25">
      <c r="A65" s="27"/>
      <c r="B65" s="27"/>
      <c r="C65" s="28"/>
      <c r="D65" s="28"/>
      <c r="F65" t="str">
        <f>IF(A65="","",(VLOOKUP(A65,'🧱 Plan comptable source'!A:E,4,FALSE)))</f>
        <v/>
      </c>
      <c r="G65" t="str">
        <f>IF(A65="","",(VLOOKUP(A65,'🧱 Plan comptable source'!A:E,5,FALSE)))</f>
        <v/>
      </c>
    </row>
    <row r="66" spans="1:7" ht="20.25" customHeight="1" x14ac:dyDescent="0.25">
      <c r="A66" s="27"/>
      <c r="B66" s="27"/>
      <c r="C66" s="28"/>
      <c r="D66" s="28"/>
      <c r="F66" t="str">
        <f>IF(A66="","",(VLOOKUP(A66,'🧱 Plan comptable source'!A:E,4,FALSE)))</f>
        <v/>
      </c>
      <c r="G66" t="str">
        <f>IF(A66="","",(VLOOKUP(A66,'🧱 Plan comptable source'!A:E,5,FALSE)))</f>
        <v/>
      </c>
    </row>
    <row r="67" spans="1:7" ht="20.25" customHeight="1" x14ac:dyDescent="0.25">
      <c r="A67" s="27"/>
      <c r="B67" s="27"/>
      <c r="C67" s="28"/>
      <c r="D67" s="28"/>
      <c r="F67" t="str">
        <f>IF(A67="","",(VLOOKUP(A67,'🧱 Plan comptable source'!A:E,4,FALSE)))</f>
        <v/>
      </c>
      <c r="G67" t="str">
        <f>IF(A67="","",(VLOOKUP(A67,'🧱 Plan comptable source'!A:E,5,FALSE)))</f>
        <v/>
      </c>
    </row>
    <row r="68" spans="1:7" ht="20.25" customHeight="1" x14ac:dyDescent="0.25">
      <c r="A68" s="27"/>
      <c r="B68" s="27"/>
      <c r="C68" s="28"/>
      <c r="D68" s="28"/>
      <c r="F68" t="str">
        <f>IF(A68="","",(VLOOKUP(A68,'🧱 Plan comptable source'!A:E,4,FALSE)))</f>
        <v/>
      </c>
      <c r="G68" t="str">
        <f>IF(A68="","",(VLOOKUP(A68,'🧱 Plan comptable source'!A:E,5,FALSE)))</f>
        <v/>
      </c>
    </row>
    <row r="69" spans="1:7" ht="20.25" customHeight="1" x14ac:dyDescent="0.25">
      <c r="A69" s="27"/>
      <c r="B69" s="27"/>
      <c r="C69" s="28"/>
      <c r="D69" s="28"/>
      <c r="F69" t="str">
        <f>IF(A69="","",(VLOOKUP(A69,'🧱 Plan comptable source'!A:E,4,FALSE)))</f>
        <v/>
      </c>
      <c r="G69" t="str">
        <f>IF(A69="","",(VLOOKUP(A69,'🧱 Plan comptable source'!A:E,5,FALSE)))</f>
        <v/>
      </c>
    </row>
    <row r="70" spans="1:7" ht="20.25" customHeight="1" x14ac:dyDescent="0.25">
      <c r="A70" s="27"/>
      <c r="B70" s="27"/>
      <c r="C70" s="28"/>
      <c r="D70" s="28"/>
      <c r="F70" t="str">
        <f>IF(A70="","",(VLOOKUP(A70,'🧱 Plan comptable source'!A:E,4,FALSE)))</f>
        <v/>
      </c>
      <c r="G70" t="str">
        <f>IF(A70="","",(VLOOKUP(A70,'🧱 Plan comptable source'!A:E,5,FALSE)))</f>
        <v/>
      </c>
    </row>
    <row r="71" spans="1:7" ht="20.25" customHeight="1" x14ac:dyDescent="0.25">
      <c r="A71" s="27"/>
      <c r="B71" s="27"/>
      <c r="C71" s="28"/>
      <c r="D71" s="28"/>
      <c r="F71" t="str">
        <f>IF(A71="","",(VLOOKUP(A71,'🧱 Plan comptable source'!A:E,4,FALSE)))</f>
        <v/>
      </c>
      <c r="G71" t="str">
        <f>IF(A71="","",(VLOOKUP(A71,'🧱 Plan comptable source'!A:E,5,FALSE)))</f>
        <v/>
      </c>
    </row>
    <row r="72" spans="1:7" ht="20.25" customHeight="1" x14ac:dyDescent="0.25">
      <c r="A72" s="27"/>
      <c r="B72" s="27"/>
      <c r="C72" s="28"/>
      <c r="D72" s="28"/>
      <c r="F72" t="str">
        <f>IF(A72="","",(VLOOKUP(A72,'🧱 Plan comptable source'!A:E,4,FALSE)))</f>
        <v/>
      </c>
      <c r="G72" t="str">
        <f>IF(A72="","",(VLOOKUP(A72,'🧱 Plan comptable source'!A:E,5,FALSE)))</f>
        <v/>
      </c>
    </row>
    <row r="73" spans="1:7" ht="20.25" customHeight="1" x14ac:dyDescent="0.25">
      <c r="A73" s="27"/>
      <c r="B73" s="27"/>
      <c r="C73" s="28"/>
      <c r="D73" s="28"/>
      <c r="F73" t="str">
        <f>IF(A73="","",(VLOOKUP(A73,'🧱 Plan comptable source'!A:E,4,FALSE)))</f>
        <v/>
      </c>
      <c r="G73" t="str">
        <f>IF(A73="","",(VLOOKUP(A73,'🧱 Plan comptable source'!A:E,5,FALSE)))</f>
        <v/>
      </c>
    </row>
    <row r="74" spans="1:7" ht="20.25" customHeight="1" x14ac:dyDescent="0.25">
      <c r="A74" s="27"/>
      <c r="B74" s="27"/>
      <c r="C74" s="28"/>
      <c r="D74" s="28"/>
      <c r="F74" t="str">
        <f>IF(A74="","",(VLOOKUP(A74,'🧱 Plan comptable source'!A:E,4,FALSE)))</f>
        <v/>
      </c>
      <c r="G74" t="str">
        <f>IF(A74="","",(VLOOKUP(A74,'🧱 Plan comptable source'!A:E,5,FALSE)))</f>
        <v/>
      </c>
    </row>
    <row r="75" spans="1:7" ht="20.25" customHeight="1" x14ac:dyDescent="0.25">
      <c r="A75" s="27"/>
      <c r="B75" s="27"/>
      <c r="C75" s="28"/>
      <c r="D75" s="28"/>
      <c r="F75" t="str">
        <f>IF(A75="","",(VLOOKUP(A75,'🧱 Plan comptable source'!A:E,4,FALSE)))</f>
        <v/>
      </c>
      <c r="G75" t="str">
        <f>IF(A75="","",(VLOOKUP(A75,'🧱 Plan comptable source'!A:E,5,FALSE)))</f>
        <v/>
      </c>
    </row>
    <row r="76" spans="1:7" ht="20.25" customHeight="1" x14ac:dyDescent="0.25">
      <c r="A76" s="27"/>
      <c r="B76" s="27"/>
      <c r="C76" s="28"/>
      <c r="D76" s="28"/>
      <c r="F76" t="str">
        <f>IF(A76="","",(VLOOKUP(A76,'🧱 Plan comptable source'!A:E,4,FALSE)))</f>
        <v/>
      </c>
      <c r="G76" t="str">
        <f>IF(A76="","",(VLOOKUP(A76,'🧱 Plan comptable source'!A:E,5,FALSE)))</f>
        <v/>
      </c>
    </row>
    <row r="77" spans="1:7" ht="20.25" customHeight="1" x14ac:dyDescent="0.25">
      <c r="A77" s="27"/>
      <c r="B77" s="27"/>
      <c r="C77" s="28"/>
      <c r="D77" s="28"/>
      <c r="F77" t="str">
        <f>IF(A77="","",(VLOOKUP(A77,'🧱 Plan comptable source'!A:E,4,FALSE)))</f>
        <v/>
      </c>
      <c r="G77" t="str">
        <f>IF(A77="","",(VLOOKUP(A77,'🧱 Plan comptable source'!A:E,5,FALSE)))</f>
        <v/>
      </c>
    </row>
    <row r="78" spans="1:7" ht="20.25" customHeight="1" x14ac:dyDescent="0.25">
      <c r="A78" s="27"/>
      <c r="B78" s="27"/>
      <c r="C78" s="28"/>
      <c r="D78" s="28"/>
      <c r="F78" t="str">
        <f>IF(A78="","",(VLOOKUP(A78,'🧱 Plan comptable source'!A:E,4,FALSE)))</f>
        <v/>
      </c>
      <c r="G78" t="str">
        <f>IF(A78="","",(VLOOKUP(A78,'🧱 Plan comptable source'!A:E,5,FALSE)))</f>
        <v/>
      </c>
    </row>
    <row r="79" spans="1:7" ht="20.25" customHeight="1" x14ac:dyDescent="0.25">
      <c r="A79" s="27"/>
      <c r="B79" s="27"/>
      <c r="C79" s="28"/>
      <c r="D79" s="28"/>
      <c r="F79" t="str">
        <f>IF(A79="","",(VLOOKUP(A79,'🧱 Plan comptable source'!A:E,4,FALSE)))</f>
        <v/>
      </c>
      <c r="G79" t="str">
        <f>IF(A79="","",(VLOOKUP(A79,'🧱 Plan comptable source'!A:E,5,FALSE)))</f>
        <v/>
      </c>
    </row>
    <row r="80" spans="1:7" ht="20.25" customHeight="1" x14ac:dyDescent="0.25">
      <c r="A80" s="27"/>
      <c r="B80" s="27"/>
      <c r="C80" s="28"/>
      <c r="D80" s="28"/>
      <c r="F80" t="str">
        <f>IF(A80="","",(VLOOKUP(A80,'🧱 Plan comptable source'!A:E,4,FALSE)))</f>
        <v/>
      </c>
      <c r="G80" t="str">
        <f>IF(A80="","",(VLOOKUP(A80,'🧱 Plan comptable source'!A:E,5,FALSE)))</f>
        <v/>
      </c>
    </row>
    <row r="81" spans="1:7" ht="20.25" customHeight="1" x14ac:dyDescent="0.25">
      <c r="A81" s="27"/>
      <c r="B81" s="27"/>
      <c r="C81" s="28"/>
      <c r="D81" s="28"/>
      <c r="F81" t="str">
        <f>IF(A81="","",(VLOOKUP(A81,'🧱 Plan comptable source'!A:E,4,FALSE)))</f>
        <v/>
      </c>
      <c r="G81" t="str">
        <f>IF(A81="","",(VLOOKUP(A81,'🧱 Plan comptable source'!A:E,5,FALSE)))</f>
        <v/>
      </c>
    </row>
    <row r="82" spans="1:7" ht="20.25" customHeight="1" x14ac:dyDescent="0.25">
      <c r="A82" s="27"/>
      <c r="B82" s="27"/>
      <c r="C82" s="28"/>
      <c r="D82" s="28"/>
      <c r="F82" t="str">
        <f>IF(A82="","",(VLOOKUP(A82,'🧱 Plan comptable source'!A:E,4,FALSE)))</f>
        <v/>
      </c>
      <c r="G82" t="str">
        <f>IF(A82="","",(VLOOKUP(A82,'🧱 Plan comptable source'!A:E,5,FALSE)))</f>
        <v/>
      </c>
    </row>
    <row r="83" spans="1:7" ht="20.25" customHeight="1" x14ac:dyDescent="0.25">
      <c r="A83" s="27"/>
      <c r="B83" s="27"/>
      <c r="C83" s="28"/>
      <c r="D83" s="28"/>
      <c r="F83" t="str">
        <f>IF(A83="","",(VLOOKUP(A83,'🧱 Plan comptable source'!A:E,4,FALSE)))</f>
        <v/>
      </c>
      <c r="G83" t="str">
        <f>IF(A83="","",(VLOOKUP(A83,'🧱 Plan comptable source'!A:E,5,FALSE)))</f>
        <v/>
      </c>
    </row>
    <row r="84" spans="1:7" ht="20.25" customHeight="1" x14ac:dyDescent="0.25">
      <c r="A84" s="27"/>
      <c r="B84" s="27"/>
      <c r="C84" s="28"/>
      <c r="D84" s="28"/>
      <c r="F84" t="str">
        <f>IF(A84="","",(VLOOKUP(A84,'🧱 Plan comptable source'!A:E,4,FALSE)))</f>
        <v/>
      </c>
      <c r="G84" t="str">
        <f>IF(A84="","",(VLOOKUP(A84,'🧱 Plan comptable source'!A:E,5,FALSE)))</f>
        <v/>
      </c>
    </row>
    <row r="85" spans="1:7" ht="20.25" customHeight="1" x14ac:dyDescent="0.25">
      <c r="A85" s="27"/>
      <c r="B85" s="27"/>
      <c r="C85" s="28"/>
      <c r="D85" s="28"/>
      <c r="F85" t="str">
        <f>IF(A85="","",(VLOOKUP(A85,'🧱 Plan comptable source'!A:E,4,FALSE)))</f>
        <v/>
      </c>
      <c r="G85" t="str">
        <f>IF(A85="","",(VLOOKUP(A85,'🧱 Plan comptable source'!A:E,5,FALSE)))</f>
        <v/>
      </c>
    </row>
    <row r="86" spans="1:7" ht="20.25" customHeight="1" x14ac:dyDescent="0.25">
      <c r="A86" s="27"/>
      <c r="B86" s="27"/>
      <c r="C86" s="28"/>
      <c r="D86" s="28"/>
      <c r="F86" t="str">
        <f>IF(A86="","",(VLOOKUP(A86,'🧱 Plan comptable source'!A:E,4,FALSE)))</f>
        <v/>
      </c>
      <c r="G86" t="str">
        <f>IF(A86="","",(VLOOKUP(A86,'🧱 Plan comptable source'!A:E,5,FALSE)))</f>
        <v/>
      </c>
    </row>
    <row r="87" spans="1:7" ht="20.25" customHeight="1" x14ac:dyDescent="0.25">
      <c r="A87" s="27"/>
      <c r="B87" s="27"/>
      <c r="C87" s="28"/>
      <c r="D87" s="28"/>
      <c r="F87" t="str">
        <f>IF(A87="","",(VLOOKUP(A87,'🧱 Plan comptable source'!A:E,4,FALSE)))</f>
        <v/>
      </c>
      <c r="G87" t="str">
        <f>IF(A87="","",(VLOOKUP(A87,'🧱 Plan comptable source'!A:E,5,FALSE)))</f>
        <v/>
      </c>
    </row>
    <row r="88" spans="1:7" ht="20.25" customHeight="1" x14ac:dyDescent="0.25">
      <c r="A88" s="27"/>
      <c r="B88" s="27"/>
      <c r="C88" s="28"/>
      <c r="D88" s="28"/>
      <c r="F88" t="str">
        <f>IF(A88="","",(VLOOKUP(A88,'🧱 Plan comptable source'!A:E,4,FALSE)))</f>
        <v/>
      </c>
      <c r="G88" t="str">
        <f>IF(A88="","",(VLOOKUP(A88,'🧱 Plan comptable source'!A:E,5,FALSE)))</f>
        <v/>
      </c>
    </row>
    <row r="89" spans="1:7" ht="20.25" customHeight="1" x14ac:dyDescent="0.25">
      <c r="A89" s="27"/>
      <c r="B89" s="27"/>
      <c r="C89" s="28"/>
      <c r="D89" s="28"/>
      <c r="F89" t="str">
        <f>IF(A89="","",(VLOOKUP(A89,'🧱 Plan comptable source'!A:E,4,FALSE)))</f>
        <v/>
      </c>
      <c r="G89" t="str">
        <f>IF(A89="","",(VLOOKUP(A89,'🧱 Plan comptable source'!A:E,5,FALSE)))</f>
        <v/>
      </c>
    </row>
    <row r="90" spans="1:7" ht="20.25" customHeight="1" x14ac:dyDescent="0.25">
      <c r="A90" s="27"/>
      <c r="B90" s="27"/>
      <c r="C90" s="28"/>
      <c r="D90" s="28"/>
      <c r="F90" t="str">
        <f>IF(A90="","",(VLOOKUP(A90,'🧱 Plan comptable source'!A:E,4,FALSE)))</f>
        <v/>
      </c>
      <c r="G90" t="str">
        <f>IF(A90="","",(VLOOKUP(A90,'🧱 Plan comptable source'!A:E,5,FALSE)))</f>
        <v/>
      </c>
    </row>
    <row r="91" spans="1:7" ht="20.25" customHeight="1" x14ac:dyDescent="0.25">
      <c r="A91" s="27"/>
      <c r="B91" s="27"/>
      <c r="C91" s="28"/>
      <c r="D91" s="28"/>
      <c r="F91" t="str">
        <f>IF(A91="","",(VLOOKUP(A91,'🧱 Plan comptable source'!A:E,4,FALSE)))</f>
        <v/>
      </c>
      <c r="G91" t="str">
        <f>IF(A91="","",(VLOOKUP(A91,'🧱 Plan comptable source'!A:E,5,FALSE)))</f>
        <v/>
      </c>
    </row>
    <row r="92" spans="1:7" ht="20.25" customHeight="1" x14ac:dyDescent="0.25">
      <c r="A92" s="27"/>
      <c r="B92" s="27"/>
      <c r="C92" s="28"/>
      <c r="D92" s="28"/>
      <c r="F92" t="str">
        <f>IF(A92="","",(VLOOKUP(A92,'🧱 Plan comptable source'!A:E,4,FALSE)))</f>
        <v/>
      </c>
      <c r="G92" t="str">
        <f>IF(A92="","",(VLOOKUP(A92,'🧱 Plan comptable source'!A:E,5,FALSE)))</f>
        <v/>
      </c>
    </row>
    <row r="93" spans="1:7" ht="20.25" customHeight="1" x14ac:dyDescent="0.25">
      <c r="A93" s="27"/>
      <c r="B93" s="27"/>
      <c r="C93" s="28"/>
      <c r="D93" s="28"/>
      <c r="F93" t="str">
        <f>IF(A93="","",(VLOOKUP(A93,'🧱 Plan comptable source'!A:E,4,FALSE)))</f>
        <v/>
      </c>
      <c r="G93" t="str">
        <f>IF(A93="","",(VLOOKUP(A93,'🧱 Plan comptable source'!A:E,5,FALSE)))</f>
        <v/>
      </c>
    </row>
    <row r="94" spans="1:7" ht="20.25" customHeight="1" x14ac:dyDescent="0.25">
      <c r="A94" s="27"/>
      <c r="B94" s="27"/>
      <c r="C94" s="28"/>
      <c r="D94" s="28"/>
      <c r="F94" t="str">
        <f>IF(A94="","",(VLOOKUP(A94,'🧱 Plan comptable source'!A:E,4,FALSE)))</f>
        <v/>
      </c>
      <c r="G94" t="str">
        <f>IF(A94="","",(VLOOKUP(A94,'🧱 Plan comptable source'!A:E,5,FALSE)))</f>
        <v/>
      </c>
    </row>
    <row r="95" spans="1:7" ht="20.25" customHeight="1" x14ac:dyDescent="0.25">
      <c r="A95" s="27"/>
      <c r="B95" s="27"/>
      <c r="C95" s="28"/>
      <c r="D95" s="28"/>
      <c r="F95" t="str">
        <f>IF(A95="","",(VLOOKUP(A95,'🧱 Plan comptable source'!A:E,4,FALSE)))</f>
        <v/>
      </c>
      <c r="G95" t="str">
        <f>IF(A95="","",(VLOOKUP(A95,'🧱 Plan comptable source'!A:E,5,FALSE)))</f>
        <v/>
      </c>
    </row>
    <row r="96" spans="1:7" ht="20.25" customHeight="1" x14ac:dyDescent="0.25">
      <c r="A96" s="27"/>
      <c r="B96" s="27"/>
      <c r="C96" s="28"/>
      <c r="D96" s="28"/>
      <c r="F96" t="str">
        <f>IF(A96="","",(VLOOKUP(A96,'🧱 Plan comptable source'!A:E,4,FALSE)))</f>
        <v/>
      </c>
      <c r="G96" t="str">
        <f>IF(A96="","",(VLOOKUP(A96,'🧱 Plan comptable source'!A:E,5,FALSE)))</f>
        <v/>
      </c>
    </row>
    <row r="97" spans="1:7" ht="20.25" customHeight="1" x14ac:dyDescent="0.25">
      <c r="A97" s="27"/>
      <c r="B97" s="27"/>
      <c r="C97" s="28"/>
      <c r="D97" s="28"/>
      <c r="F97" t="str">
        <f>IF(A97="","",(VLOOKUP(A97,'🧱 Plan comptable source'!A:E,4,FALSE)))</f>
        <v/>
      </c>
      <c r="G97" t="str">
        <f>IF(A97="","",(VLOOKUP(A97,'🧱 Plan comptable source'!A:E,5,FALSE)))</f>
        <v/>
      </c>
    </row>
    <row r="98" spans="1:7" ht="20.25" customHeight="1" x14ac:dyDescent="0.25">
      <c r="A98" s="27"/>
      <c r="B98" s="27"/>
      <c r="C98" s="28"/>
      <c r="D98" s="28"/>
      <c r="F98" t="str">
        <f>IF(A98="","",(VLOOKUP(A98,'🧱 Plan comptable source'!A:E,4,FALSE)))</f>
        <v/>
      </c>
      <c r="G98" t="str">
        <f>IF(A98="","",(VLOOKUP(A98,'🧱 Plan comptable source'!A:E,5,FALSE)))</f>
        <v/>
      </c>
    </row>
    <row r="99" spans="1:7" ht="20.25" customHeight="1" x14ac:dyDescent="0.25">
      <c r="A99" s="27"/>
      <c r="B99" s="27"/>
      <c r="C99" s="28"/>
      <c r="D99" s="28"/>
      <c r="F99" t="str">
        <f>IF(A99="","",(VLOOKUP(A99,'🧱 Plan comptable source'!A:E,4,FALSE)))</f>
        <v/>
      </c>
      <c r="G99" t="str">
        <f>IF(A99="","",(VLOOKUP(A99,'🧱 Plan comptable source'!A:E,5,FALSE)))</f>
        <v/>
      </c>
    </row>
    <row r="100" spans="1:7" ht="20.25" customHeight="1" x14ac:dyDescent="0.25">
      <c r="A100" s="27"/>
      <c r="B100" s="27"/>
      <c r="C100" s="28"/>
      <c r="D100" s="28"/>
      <c r="F100" t="str">
        <f>IF(A100="","",(VLOOKUP(A100,'🧱 Plan comptable source'!A:E,4,FALSE)))</f>
        <v/>
      </c>
      <c r="G100" t="str">
        <f>IF(A100="","",(VLOOKUP(A100,'🧱 Plan comptable source'!A:E,5,FALSE)))</f>
        <v/>
      </c>
    </row>
    <row r="101" spans="1:7" ht="20.25" customHeight="1" x14ac:dyDescent="0.25">
      <c r="A101" s="27"/>
      <c r="B101" s="27"/>
      <c r="C101" s="28"/>
      <c r="D101" s="28"/>
      <c r="F101" t="str">
        <f>IF(A101="","",(VLOOKUP(A101,'🧱 Plan comptable source'!A:E,4,FALSE)))</f>
        <v/>
      </c>
      <c r="G101" t="str">
        <f>IF(A101="","",(VLOOKUP(A101,'🧱 Plan comptable source'!A:E,5,FALSE)))</f>
        <v/>
      </c>
    </row>
    <row r="102" spans="1:7" ht="20.25" customHeight="1" x14ac:dyDescent="0.25">
      <c r="A102" s="27"/>
      <c r="B102" s="27"/>
      <c r="C102" s="28"/>
      <c r="D102" s="28"/>
      <c r="F102" t="str">
        <f>IF(A102="","",(VLOOKUP(A102,'🧱 Plan comptable source'!A:E,4,FALSE)))</f>
        <v/>
      </c>
      <c r="G102" t="str">
        <f>IF(A102="","",(VLOOKUP(A102,'🧱 Plan comptable source'!A:E,5,FALSE)))</f>
        <v/>
      </c>
    </row>
    <row r="103" spans="1:7" ht="20.25" customHeight="1" x14ac:dyDescent="0.25">
      <c r="A103" s="27"/>
      <c r="B103" s="27"/>
      <c r="C103" s="28"/>
      <c r="D103" s="28"/>
      <c r="F103" t="str">
        <f>IF(A103="","",(VLOOKUP(A103,'🧱 Plan comptable source'!A:E,4,FALSE)))</f>
        <v/>
      </c>
      <c r="G103" t="str">
        <f>IF(A103="","",(VLOOKUP(A103,'🧱 Plan comptable source'!A:E,5,FALSE)))</f>
        <v/>
      </c>
    </row>
    <row r="104" spans="1:7" ht="20.25" customHeight="1" x14ac:dyDescent="0.25">
      <c r="A104" s="27"/>
      <c r="B104" s="27"/>
      <c r="C104" s="28"/>
      <c r="D104" s="28"/>
      <c r="F104" t="str">
        <f>IF(A104="","",(VLOOKUP(A104,'🧱 Plan comptable source'!A:E,4,FALSE)))</f>
        <v/>
      </c>
      <c r="G104" t="str">
        <f>IF(A104="","",(VLOOKUP(A104,'🧱 Plan comptable source'!A:E,5,FALSE)))</f>
        <v/>
      </c>
    </row>
    <row r="105" spans="1:7" ht="20.25" customHeight="1" x14ac:dyDescent="0.25">
      <c r="A105" s="27"/>
      <c r="B105" s="27"/>
      <c r="C105" s="28"/>
      <c r="D105" s="28"/>
      <c r="F105" t="str">
        <f>IF(A105="","",(VLOOKUP(A105,'🧱 Plan comptable source'!A:E,4,FALSE)))</f>
        <v/>
      </c>
      <c r="G105" t="str">
        <f>IF(A105="","",(VLOOKUP(A105,'🧱 Plan comptable source'!A:E,5,FALSE)))</f>
        <v/>
      </c>
    </row>
    <row r="106" spans="1:7" ht="20.25" customHeight="1" x14ac:dyDescent="0.25">
      <c r="A106" s="27"/>
      <c r="B106" s="27"/>
      <c r="C106" s="28"/>
      <c r="D106" s="28"/>
      <c r="F106" t="str">
        <f>IF(A106="","",(VLOOKUP(A106,'🧱 Plan comptable source'!A:E,4,FALSE)))</f>
        <v/>
      </c>
      <c r="G106" t="str">
        <f>IF(A106="","",(VLOOKUP(A106,'🧱 Plan comptable source'!A:E,5,FALSE)))</f>
        <v/>
      </c>
    </row>
    <row r="107" spans="1:7" ht="20.25" customHeight="1" x14ac:dyDescent="0.25">
      <c r="A107" s="27"/>
      <c r="B107" s="27"/>
      <c r="C107" s="28"/>
      <c r="D107" s="28"/>
      <c r="F107" t="str">
        <f>IF(A107="","",(VLOOKUP(A107,'🧱 Plan comptable source'!A:E,4,FALSE)))</f>
        <v/>
      </c>
      <c r="G107" t="str">
        <f>IF(A107="","",(VLOOKUP(A107,'🧱 Plan comptable source'!A:E,5,FALSE)))</f>
        <v/>
      </c>
    </row>
    <row r="108" spans="1:7" ht="20.25" customHeight="1" x14ac:dyDescent="0.25">
      <c r="A108" s="27"/>
      <c r="B108" s="27"/>
      <c r="C108" s="28"/>
      <c r="D108" s="28"/>
      <c r="F108" t="str">
        <f>IF(A108="","",(VLOOKUP(A108,'🧱 Plan comptable source'!A:E,4,FALSE)))</f>
        <v/>
      </c>
      <c r="G108" t="str">
        <f>IF(A108="","",(VLOOKUP(A108,'🧱 Plan comptable source'!A:E,5,FALSE)))</f>
        <v/>
      </c>
    </row>
    <row r="109" spans="1:7" ht="20.25" customHeight="1" x14ac:dyDescent="0.25">
      <c r="A109" s="27"/>
      <c r="B109" s="27"/>
      <c r="C109" s="28"/>
      <c r="D109" s="28"/>
      <c r="F109" t="str">
        <f>IF(A109="","",(VLOOKUP(A109,'🧱 Plan comptable source'!A:E,4,FALSE)))</f>
        <v/>
      </c>
      <c r="G109" t="str">
        <f>IF(A109="","",(VLOOKUP(A109,'🧱 Plan comptable source'!A:E,5,FALSE)))</f>
        <v/>
      </c>
    </row>
    <row r="110" spans="1:7" ht="20.25" customHeight="1" x14ac:dyDescent="0.25">
      <c r="A110" s="27"/>
      <c r="B110" s="27"/>
      <c r="C110" s="28"/>
      <c r="D110" s="28"/>
      <c r="F110" t="str">
        <f>IF(A110="","",(VLOOKUP(A110,'🧱 Plan comptable source'!A:E,4,FALSE)))</f>
        <v/>
      </c>
      <c r="G110" t="str">
        <f>IF(A110="","",(VLOOKUP(A110,'🧱 Plan comptable source'!A:E,5,FALSE)))</f>
        <v/>
      </c>
    </row>
    <row r="111" spans="1:7" ht="20.25" customHeight="1" x14ac:dyDescent="0.25">
      <c r="A111" s="27"/>
      <c r="B111" s="27"/>
      <c r="C111" s="28"/>
      <c r="D111" s="28"/>
      <c r="F111" t="str">
        <f>IF(A111="","",(VLOOKUP(A111,'🧱 Plan comptable source'!A:E,4,FALSE)))</f>
        <v/>
      </c>
      <c r="G111" t="str">
        <f>IF(A111="","",(VLOOKUP(A111,'🧱 Plan comptable source'!A:E,5,FALSE)))</f>
        <v/>
      </c>
    </row>
    <row r="112" spans="1:7" ht="20.25" customHeight="1" x14ac:dyDescent="0.25">
      <c r="A112" s="27"/>
      <c r="B112" s="27"/>
      <c r="C112" s="28"/>
      <c r="D112" s="28"/>
      <c r="F112" t="str">
        <f>IF(A112="","",(VLOOKUP(A112,'🧱 Plan comptable source'!A:E,4,FALSE)))</f>
        <v/>
      </c>
      <c r="G112" t="str">
        <f>IF(A112="","",(VLOOKUP(A112,'🧱 Plan comptable source'!A:E,5,FALSE)))</f>
        <v/>
      </c>
    </row>
    <row r="113" spans="1:7" ht="20.25" customHeight="1" x14ac:dyDescent="0.25">
      <c r="A113" s="27"/>
      <c r="B113" s="27"/>
      <c r="C113" s="28"/>
      <c r="D113" s="28"/>
      <c r="F113" t="str">
        <f>IF(A113="","",(VLOOKUP(A113,'🧱 Plan comptable source'!A:E,4,FALSE)))</f>
        <v/>
      </c>
      <c r="G113" t="str">
        <f>IF(A113="","",(VLOOKUP(A113,'🧱 Plan comptable source'!A:E,5,FALSE)))</f>
        <v/>
      </c>
    </row>
    <row r="114" spans="1:7" ht="20.25" customHeight="1" x14ac:dyDescent="0.25">
      <c r="A114" s="27"/>
      <c r="B114" s="27"/>
      <c r="C114" s="28"/>
      <c r="D114" s="28"/>
      <c r="F114" t="str">
        <f>IF(A114="","",(VLOOKUP(A114,'🧱 Plan comptable source'!A:E,4,FALSE)))</f>
        <v/>
      </c>
      <c r="G114" t="str">
        <f>IF(A114="","",(VLOOKUP(A114,'🧱 Plan comptable source'!A:E,5,FALSE)))</f>
        <v/>
      </c>
    </row>
    <row r="115" spans="1:7" ht="20.25" customHeight="1" x14ac:dyDescent="0.25">
      <c r="A115" s="27"/>
      <c r="B115" s="27"/>
      <c r="C115" s="28"/>
      <c r="D115" s="28"/>
      <c r="F115" t="str">
        <f>IF(A115="","",(VLOOKUP(A115,'🧱 Plan comptable source'!A:E,4,FALSE)))</f>
        <v/>
      </c>
      <c r="G115" t="str">
        <f>IF(A115="","",(VLOOKUP(A115,'🧱 Plan comptable source'!A:E,5,FALSE)))</f>
        <v/>
      </c>
    </row>
    <row r="116" spans="1:7" ht="20.25" customHeight="1" x14ac:dyDescent="0.25">
      <c r="A116" s="27"/>
      <c r="B116" s="27"/>
      <c r="C116" s="28"/>
      <c r="D116" s="28"/>
      <c r="F116" t="str">
        <f>IF(A116="","",(VLOOKUP(A116,'🧱 Plan comptable source'!A:E,4,FALSE)))</f>
        <v/>
      </c>
      <c r="G116" t="str">
        <f>IF(A116="","",(VLOOKUP(A116,'🧱 Plan comptable source'!A:E,5,FALSE)))</f>
        <v/>
      </c>
    </row>
    <row r="117" spans="1:7" ht="20.25" customHeight="1" x14ac:dyDescent="0.25">
      <c r="A117" s="27"/>
      <c r="B117" s="27"/>
      <c r="C117" s="28"/>
      <c r="D117" s="28"/>
      <c r="F117" t="str">
        <f>IF(A117="","",(VLOOKUP(A117,'🧱 Plan comptable source'!A:E,4,FALSE)))</f>
        <v/>
      </c>
      <c r="G117" t="str">
        <f>IF(A117="","",(VLOOKUP(A117,'🧱 Plan comptable source'!A:E,5,FALSE)))</f>
        <v/>
      </c>
    </row>
    <row r="118" spans="1:7" ht="20.25" customHeight="1" x14ac:dyDescent="0.25">
      <c r="A118" s="27"/>
      <c r="B118" s="27"/>
      <c r="C118" s="28"/>
      <c r="D118" s="28"/>
      <c r="F118" t="str">
        <f>IF(A118="","",(VLOOKUP(A118,'🧱 Plan comptable source'!A:E,4,FALSE)))</f>
        <v/>
      </c>
      <c r="G118" t="str">
        <f>IF(A118="","",(VLOOKUP(A118,'🧱 Plan comptable source'!A:E,5,FALSE)))</f>
        <v/>
      </c>
    </row>
    <row r="119" spans="1:7" ht="20.25" customHeight="1" x14ac:dyDescent="0.25">
      <c r="A119" s="27"/>
      <c r="B119" s="27"/>
      <c r="C119" s="28"/>
      <c r="D119" s="28"/>
      <c r="F119" t="str">
        <f>IF(A119="","",(VLOOKUP(A119,'🧱 Plan comptable source'!A:E,4,FALSE)))</f>
        <v/>
      </c>
      <c r="G119" t="str">
        <f>IF(A119="","",(VLOOKUP(A119,'🧱 Plan comptable source'!A:E,5,FALSE)))</f>
        <v/>
      </c>
    </row>
    <row r="120" spans="1:7" ht="20.25" customHeight="1" x14ac:dyDescent="0.25">
      <c r="A120" s="27"/>
      <c r="B120" s="27"/>
      <c r="C120" s="28"/>
      <c r="D120" s="28"/>
      <c r="F120" t="str">
        <f>IF(A120="","",(VLOOKUP(A120,'🧱 Plan comptable source'!A:E,4,FALSE)))</f>
        <v/>
      </c>
      <c r="G120" t="str">
        <f>IF(A120="","",(VLOOKUP(A120,'🧱 Plan comptable source'!A:E,5,FALSE)))</f>
        <v/>
      </c>
    </row>
    <row r="121" spans="1:7" ht="20.25" customHeight="1" x14ac:dyDescent="0.25">
      <c r="A121" s="27"/>
      <c r="B121" s="27"/>
      <c r="C121" s="28"/>
      <c r="D121" s="28"/>
      <c r="F121" t="str">
        <f>IF(A121="","",(VLOOKUP(A121,'🧱 Plan comptable source'!A:E,4,FALSE)))</f>
        <v/>
      </c>
      <c r="G121" t="str">
        <f>IF(A121="","",(VLOOKUP(A121,'🧱 Plan comptable source'!A:E,5,FALSE)))</f>
        <v/>
      </c>
    </row>
    <row r="122" spans="1:7" ht="20.25" customHeight="1" x14ac:dyDescent="0.25">
      <c r="A122" s="27"/>
      <c r="B122" s="27"/>
      <c r="C122" s="28"/>
      <c r="D122" s="28"/>
      <c r="F122" t="str">
        <f>IF(A122="","",(VLOOKUP(A122,'🧱 Plan comptable source'!A:E,4,FALSE)))</f>
        <v/>
      </c>
      <c r="G122" t="str">
        <f>IF(A122="","",(VLOOKUP(A122,'🧱 Plan comptable source'!A:E,5,FALSE)))</f>
        <v/>
      </c>
    </row>
    <row r="123" spans="1:7" ht="20.25" customHeight="1" x14ac:dyDescent="0.25">
      <c r="A123" s="27"/>
      <c r="B123" s="27"/>
      <c r="C123" s="28"/>
      <c r="D123" s="28"/>
      <c r="F123" t="str">
        <f>IF(A123="","",(VLOOKUP(A123,'🧱 Plan comptable source'!A:E,4,FALSE)))</f>
        <v/>
      </c>
      <c r="G123" t="str">
        <f>IF(A123="","",(VLOOKUP(A123,'🧱 Plan comptable source'!A:E,5,FALSE)))</f>
        <v/>
      </c>
    </row>
    <row r="124" spans="1:7" ht="20.25" customHeight="1" x14ac:dyDescent="0.25">
      <c r="A124" s="27"/>
      <c r="B124" s="27"/>
      <c r="C124" s="28"/>
      <c r="D124" s="28"/>
      <c r="F124" t="str">
        <f>IF(A124="","",(VLOOKUP(A124,'🧱 Plan comptable source'!A:E,4,FALSE)))</f>
        <v/>
      </c>
      <c r="G124" t="str">
        <f>IF(A124="","",(VLOOKUP(A124,'🧱 Plan comptable source'!A:E,5,FALSE)))</f>
        <v/>
      </c>
    </row>
    <row r="125" spans="1:7" ht="20.25" customHeight="1" x14ac:dyDescent="0.25">
      <c r="A125" s="27"/>
      <c r="B125" s="27"/>
      <c r="C125" s="28"/>
      <c r="D125" s="28"/>
      <c r="F125" t="str">
        <f>IF(A125="","",(VLOOKUP(A125,'🧱 Plan comptable source'!A:E,4,FALSE)))</f>
        <v/>
      </c>
      <c r="G125" t="str">
        <f>IF(A125="","",(VLOOKUP(A125,'🧱 Plan comptable source'!A:E,5,FALSE)))</f>
        <v/>
      </c>
    </row>
    <row r="126" spans="1:7" ht="20.25" customHeight="1" x14ac:dyDescent="0.25">
      <c r="A126" s="27"/>
      <c r="B126" s="27"/>
      <c r="C126" s="28"/>
      <c r="D126" s="28"/>
      <c r="F126" t="str">
        <f>IF(A126="","",(VLOOKUP(A126,'🧱 Plan comptable source'!A:E,4,FALSE)))</f>
        <v/>
      </c>
      <c r="G126" t="str">
        <f>IF(A126="","",(VLOOKUP(A126,'🧱 Plan comptable source'!A:E,5,FALSE)))</f>
        <v/>
      </c>
    </row>
    <row r="127" spans="1:7" ht="20.25" customHeight="1" x14ac:dyDescent="0.25">
      <c r="A127" s="27"/>
      <c r="B127" s="27"/>
      <c r="C127" s="28"/>
      <c r="D127" s="28"/>
      <c r="F127" t="str">
        <f>IF(A127="","",(VLOOKUP(A127,'🧱 Plan comptable source'!A:E,4,FALSE)))</f>
        <v/>
      </c>
      <c r="G127" t="str">
        <f>IF(A127="","",(VLOOKUP(A127,'🧱 Plan comptable source'!A:E,5,FALSE)))</f>
        <v/>
      </c>
    </row>
    <row r="128" spans="1:7" ht="20.25" customHeight="1" x14ac:dyDescent="0.25">
      <c r="A128" s="27"/>
      <c r="B128" s="27"/>
      <c r="C128" s="28"/>
      <c r="D128" s="28"/>
      <c r="F128" t="str">
        <f>IF(A128="","",(VLOOKUP(A128,'🧱 Plan comptable source'!A:E,4,FALSE)))</f>
        <v/>
      </c>
      <c r="G128" t="str">
        <f>IF(A128="","",(VLOOKUP(A128,'🧱 Plan comptable source'!A:E,5,FALSE)))</f>
        <v/>
      </c>
    </row>
    <row r="129" spans="1:7" ht="20.25" customHeight="1" x14ac:dyDescent="0.25">
      <c r="A129" s="27"/>
      <c r="B129" s="27"/>
      <c r="C129" s="28"/>
      <c r="D129" s="28"/>
      <c r="F129" t="str">
        <f>IF(A129="","",(VLOOKUP(A129,'🧱 Plan comptable source'!A:E,4,FALSE)))</f>
        <v/>
      </c>
      <c r="G129" t="str">
        <f>IF(A129="","",(VLOOKUP(A129,'🧱 Plan comptable source'!A:E,5,FALSE)))</f>
        <v/>
      </c>
    </row>
    <row r="130" spans="1:7" ht="20.25" customHeight="1" x14ac:dyDescent="0.25">
      <c r="A130" s="27"/>
      <c r="B130" s="27"/>
      <c r="C130" s="28"/>
      <c r="D130" s="28"/>
      <c r="F130" t="str">
        <f>IF(A130="","",(VLOOKUP(A130,'🧱 Plan comptable source'!A:E,4,FALSE)))</f>
        <v/>
      </c>
      <c r="G130" t="str">
        <f>IF(A130="","",(VLOOKUP(A130,'🧱 Plan comptable source'!A:E,5,FALSE)))</f>
        <v/>
      </c>
    </row>
    <row r="131" spans="1:7" ht="20.25" customHeight="1" x14ac:dyDescent="0.25">
      <c r="A131" s="27"/>
      <c r="B131" s="27"/>
      <c r="C131" s="28"/>
      <c r="D131" s="28"/>
      <c r="F131" t="str">
        <f>IF(A131="","",(VLOOKUP(A131,'🧱 Plan comptable source'!A:E,4,FALSE)))</f>
        <v/>
      </c>
      <c r="G131" t="str">
        <f>IF(A131="","",(VLOOKUP(A131,'🧱 Plan comptable source'!A:E,5,FALSE)))</f>
        <v/>
      </c>
    </row>
    <row r="132" spans="1:7" ht="20.25" customHeight="1" x14ac:dyDescent="0.25">
      <c r="A132" s="27"/>
      <c r="B132" s="27"/>
      <c r="C132" s="28"/>
      <c r="D132" s="28"/>
      <c r="F132" t="str">
        <f>IF(A132="","",(VLOOKUP(A132,'🧱 Plan comptable source'!A:E,4,FALSE)))</f>
        <v/>
      </c>
      <c r="G132" t="str">
        <f>IF(A132="","",(VLOOKUP(A132,'🧱 Plan comptable source'!A:E,5,FALSE)))</f>
        <v/>
      </c>
    </row>
    <row r="133" spans="1:7" ht="20.25" customHeight="1" x14ac:dyDescent="0.25">
      <c r="A133" s="27"/>
      <c r="B133" s="27"/>
      <c r="C133" s="28"/>
      <c r="D133" s="28"/>
      <c r="F133" t="str">
        <f>IF(A133="","",(VLOOKUP(A133,'🧱 Plan comptable source'!A:E,4,FALSE)))</f>
        <v/>
      </c>
      <c r="G133" t="str">
        <f>IF(A133="","",(VLOOKUP(A133,'🧱 Plan comptable source'!A:E,5,FALSE)))</f>
        <v/>
      </c>
    </row>
    <row r="134" spans="1:7" ht="20.25" customHeight="1" x14ac:dyDescent="0.25">
      <c r="A134" s="27"/>
      <c r="B134" s="27"/>
      <c r="C134" s="28"/>
      <c r="D134" s="28"/>
      <c r="F134" t="str">
        <f>IF(A134="","",(VLOOKUP(A134,'🧱 Plan comptable source'!A:E,4,FALSE)))</f>
        <v/>
      </c>
      <c r="G134" t="str">
        <f>IF(A134="","",(VLOOKUP(A134,'🧱 Plan comptable source'!A:E,5,FALSE)))</f>
        <v/>
      </c>
    </row>
    <row r="135" spans="1:7" ht="20.25" customHeight="1" x14ac:dyDescent="0.25">
      <c r="A135" s="27"/>
      <c r="B135" s="27"/>
      <c r="C135" s="28"/>
      <c r="D135" s="28"/>
      <c r="F135" t="str">
        <f>IF(A135="","",(VLOOKUP(A135,'🧱 Plan comptable source'!A:E,4,FALSE)))</f>
        <v/>
      </c>
      <c r="G135" t="str">
        <f>IF(A135="","",(VLOOKUP(A135,'🧱 Plan comptable source'!A:E,5,FALSE)))</f>
        <v/>
      </c>
    </row>
    <row r="136" spans="1:7" ht="20.25" customHeight="1" x14ac:dyDescent="0.25">
      <c r="A136" s="27"/>
      <c r="B136" s="27"/>
      <c r="C136" s="28"/>
      <c r="D136" s="28"/>
      <c r="F136" t="str">
        <f>IF(A136="","",(VLOOKUP(A136,'🧱 Plan comptable source'!A:E,4,FALSE)))</f>
        <v/>
      </c>
      <c r="G136" t="str">
        <f>IF(A136="","",(VLOOKUP(A136,'🧱 Plan comptable source'!A:E,5,FALSE)))</f>
        <v/>
      </c>
    </row>
    <row r="137" spans="1:7" ht="20.25" customHeight="1" x14ac:dyDescent="0.25">
      <c r="A137" s="27"/>
      <c r="B137" s="27"/>
      <c r="C137" s="28"/>
      <c r="D137" s="28"/>
      <c r="F137" t="str">
        <f>IF(A137="","",(VLOOKUP(A137,'🧱 Plan comptable source'!A:E,4,FALSE)))</f>
        <v/>
      </c>
      <c r="G137" t="str">
        <f>IF(A137="","",(VLOOKUP(A137,'🧱 Plan comptable source'!A:E,5,FALSE)))</f>
        <v/>
      </c>
    </row>
    <row r="138" spans="1:7" ht="20.25" customHeight="1" x14ac:dyDescent="0.25">
      <c r="A138" s="27"/>
      <c r="B138" s="27"/>
      <c r="C138" s="28"/>
      <c r="D138" s="28"/>
      <c r="F138" t="str">
        <f>IF(A138="","",(VLOOKUP(A138,'🧱 Plan comptable source'!A:E,4,FALSE)))</f>
        <v/>
      </c>
      <c r="G138" t="str">
        <f>IF(A138="","",(VLOOKUP(A138,'🧱 Plan comptable source'!A:E,5,FALSE)))</f>
        <v/>
      </c>
    </row>
    <row r="139" spans="1:7" ht="20.25" customHeight="1" x14ac:dyDescent="0.25">
      <c r="A139" s="27"/>
      <c r="B139" s="27"/>
      <c r="C139" s="28"/>
      <c r="D139" s="28"/>
      <c r="F139" t="str">
        <f>IF(A139="","",(VLOOKUP(A139,'🧱 Plan comptable source'!A:E,4,FALSE)))</f>
        <v/>
      </c>
      <c r="G139" t="str">
        <f>IF(A139="","",(VLOOKUP(A139,'🧱 Plan comptable source'!A:E,5,FALSE)))</f>
        <v/>
      </c>
    </row>
    <row r="140" spans="1:7" ht="20.25" customHeight="1" x14ac:dyDescent="0.25">
      <c r="A140" s="27"/>
      <c r="B140" s="27"/>
      <c r="C140" s="28"/>
      <c r="D140" s="28"/>
      <c r="F140" t="str">
        <f>IF(A140="","",(VLOOKUP(A140,'🧱 Plan comptable source'!A:E,4,FALSE)))</f>
        <v/>
      </c>
      <c r="G140" t="str">
        <f>IF(A140="","",(VLOOKUP(A140,'🧱 Plan comptable source'!A:E,5,FALSE)))</f>
        <v/>
      </c>
    </row>
    <row r="141" spans="1:7" ht="20.25" customHeight="1" x14ac:dyDescent="0.25">
      <c r="A141" s="27"/>
      <c r="B141" s="27"/>
      <c r="C141" s="28"/>
      <c r="D141" s="28"/>
      <c r="F141" t="str">
        <f>IF(A141="","",(VLOOKUP(A141,'🧱 Plan comptable source'!A:E,4,FALSE)))</f>
        <v/>
      </c>
      <c r="G141" t="str">
        <f>IF(A141="","",(VLOOKUP(A141,'🧱 Plan comptable source'!A:E,5,FALSE)))</f>
        <v/>
      </c>
    </row>
    <row r="142" spans="1:7" ht="20.25" customHeight="1" x14ac:dyDescent="0.25">
      <c r="A142" s="27"/>
      <c r="B142" s="27"/>
      <c r="C142" s="28"/>
      <c r="D142" s="28"/>
      <c r="F142" t="str">
        <f>IF(A142="","",(VLOOKUP(A142,'🧱 Plan comptable source'!A:E,4,FALSE)))</f>
        <v/>
      </c>
      <c r="G142" t="str">
        <f>IF(A142="","",(VLOOKUP(A142,'🧱 Plan comptable source'!A:E,5,FALSE)))</f>
        <v/>
      </c>
    </row>
    <row r="143" spans="1:7" ht="20.25" customHeight="1" x14ac:dyDescent="0.25">
      <c r="A143" s="27"/>
      <c r="B143" s="27"/>
      <c r="C143" s="28"/>
      <c r="D143" s="28"/>
      <c r="F143" t="str">
        <f>IF(A143="","",(VLOOKUP(A143,'🧱 Plan comptable source'!A:E,4,FALSE)))</f>
        <v/>
      </c>
      <c r="G143" t="str">
        <f>IF(A143="","",(VLOOKUP(A143,'🧱 Plan comptable source'!A:E,5,FALSE)))</f>
        <v/>
      </c>
    </row>
    <row r="144" spans="1:7" ht="20.25" customHeight="1" x14ac:dyDescent="0.25">
      <c r="A144" s="27"/>
      <c r="B144" s="27"/>
      <c r="C144" s="28"/>
      <c r="D144" s="28"/>
      <c r="F144" t="str">
        <f>IF(A144="","",(VLOOKUP(A144,'🧱 Plan comptable source'!A:E,4,FALSE)))</f>
        <v/>
      </c>
      <c r="G144" t="str">
        <f>IF(A144="","",(VLOOKUP(A144,'🧱 Plan comptable source'!A:E,5,FALSE)))</f>
        <v/>
      </c>
    </row>
    <row r="145" spans="1:7" ht="20.25" customHeight="1" x14ac:dyDescent="0.25">
      <c r="A145" s="27"/>
      <c r="B145" s="27"/>
      <c r="C145" s="28"/>
      <c r="D145" s="28"/>
      <c r="F145" t="str">
        <f>IF(A145="","",(VLOOKUP(A145,'🧱 Plan comptable source'!A:E,4,FALSE)))</f>
        <v/>
      </c>
      <c r="G145" t="str">
        <f>IF(A145="","",(VLOOKUP(A145,'🧱 Plan comptable source'!A:E,5,FALSE)))</f>
        <v/>
      </c>
    </row>
    <row r="146" spans="1:7" ht="20.25" customHeight="1" x14ac:dyDescent="0.25">
      <c r="A146" s="27"/>
      <c r="B146" s="27"/>
      <c r="C146" s="28"/>
      <c r="D146" s="28"/>
      <c r="F146" t="str">
        <f>IF(A146="","",(VLOOKUP(A146,'🧱 Plan comptable source'!A:E,4,FALSE)))</f>
        <v/>
      </c>
      <c r="G146" t="str">
        <f>IF(A146="","",(VLOOKUP(A146,'🧱 Plan comptable source'!A:E,5,FALSE)))</f>
        <v/>
      </c>
    </row>
    <row r="147" spans="1:7" ht="20.25" customHeight="1" x14ac:dyDescent="0.25">
      <c r="A147" s="27"/>
      <c r="B147" s="27"/>
      <c r="C147" s="28"/>
      <c r="D147" s="28"/>
      <c r="F147" t="str">
        <f>IF(A147="","",(VLOOKUP(A147,'🧱 Plan comptable source'!A:E,4,FALSE)))</f>
        <v/>
      </c>
      <c r="G147" t="str">
        <f>IF(A147="","",(VLOOKUP(A147,'🧱 Plan comptable source'!A:E,5,FALSE)))</f>
        <v/>
      </c>
    </row>
    <row r="148" spans="1:7" ht="20.25" customHeight="1" x14ac:dyDescent="0.25">
      <c r="A148" s="27"/>
      <c r="B148" s="27"/>
      <c r="C148" s="28"/>
      <c r="D148" s="28"/>
      <c r="F148" t="str">
        <f>IF(A148="","",(VLOOKUP(A148,'🧱 Plan comptable source'!A:E,4,FALSE)))</f>
        <v/>
      </c>
      <c r="G148" t="str">
        <f>IF(A148="","",(VLOOKUP(A148,'🧱 Plan comptable source'!A:E,5,FALSE)))</f>
        <v/>
      </c>
    </row>
    <row r="149" spans="1:7" ht="20.25" customHeight="1" x14ac:dyDescent="0.25">
      <c r="A149" s="27"/>
      <c r="B149" s="27"/>
      <c r="C149" s="28"/>
      <c r="D149" s="28"/>
      <c r="F149" t="str">
        <f>IF(A149="","",(VLOOKUP(A149,'🧱 Plan comptable source'!A:E,4,FALSE)))</f>
        <v/>
      </c>
      <c r="G149" t="str">
        <f>IF(A149="","",(VLOOKUP(A149,'🧱 Plan comptable source'!A:E,5,FALSE)))</f>
        <v/>
      </c>
    </row>
    <row r="150" spans="1:7" ht="20.25" customHeight="1" x14ac:dyDescent="0.25">
      <c r="A150" s="27"/>
      <c r="B150" s="27"/>
      <c r="C150" s="28"/>
      <c r="D150" s="28"/>
      <c r="F150" t="str">
        <f>IF(A150="","",(VLOOKUP(A150,'🧱 Plan comptable source'!A:E,4,FALSE)))</f>
        <v/>
      </c>
      <c r="G150" t="str">
        <f>IF(A150="","",(VLOOKUP(A150,'🧱 Plan comptable source'!A:E,5,FALSE)))</f>
        <v/>
      </c>
    </row>
    <row r="151" spans="1:7" ht="20.25" customHeight="1" x14ac:dyDescent="0.25">
      <c r="A151" s="27"/>
      <c r="B151" s="27"/>
      <c r="C151" s="28"/>
      <c r="D151" s="28"/>
      <c r="F151" t="str">
        <f>IF(A151="","",(VLOOKUP(A151,'🧱 Plan comptable source'!A:E,4,FALSE)))</f>
        <v/>
      </c>
      <c r="G151" t="str">
        <f>IF(A151="","",(VLOOKUP(A151,'🧱 Plan comptable source'!A:E,5,FALSE)))</f>
        <v/>
      </c>
    </row>
    <row r="152" spans="1:7" ht="20.25" customHeight="1" x14ac:dyDescent="0.25">
      <c r="A152" s="27"/>
      <c r="B152" s="27"/>
      <c r="C152" s="28"/>
      <c r="D152" s="28"/>
      <c r="F152" t="str">
        <f>IF(A152="","",(VLOOKUP(A152,'🧱 Plan comptable source'!A:E,4,FALSE)))</f>
        <v/>
      </c>
      <c r="G152" t="str">
        <f>IF(A152="","",(VLOOKUP(A152,'🧱 Plan comptable source'!A:E,5,FALSE)))</f>
        <v/>
      </c>
    </row>
    <row r="153" spans="1:7" ht="20.25" customHeight="1" x14ac:dyDescent="0.25">
      <c r="A153" s="27"/>
      <c r="B153" s="27"/>
      <c r="C153" s="28"/>
      <c r="D153" s="28"/>
      <c r="F153" t="str">
        <f>IF(A153="","",(VLOOKUP(A153,'🧱 Plan comptable source'!A:E,4,FALSE)))</f>
        <v/>
      </c>
      <c r="G153" t="str">
        <f>IF(A153="","",(VLOOKUP(A153,'🧱 Plan comptable source'!A:E,5,FALSE)))</f>
        <v/>
      </c>
    </row>
    <row r="154" spans="1:7" ht="20.25" customHeight="1" x14ac:dyDescent="0.25">
      <c r="A154" s="27"/>
      <c r="B154" s="27"/>
      <c r="C154" s="28"/>
      <c r="D154" s="28"/>
      <c r="F154" t="str">
        <f>IF(A154="","",(VLOOKUP(A154,'🧱 Plan comptable source'!A:E,4,FALSE)))</f>
        <v/>
      </c>
      <c r="G154" t="str">
        <f>IF(A154="","",(VLOOKUP(A154,'🧱 Plan comptable source'!A:E,5,FALSE)))</f>
        <v/>
      </c>
    </row>
    <row r="155" spans="1:7" ht="20.25" customHeight="1" x14ac:dyDescent="0.25">
      <c r="A155" s="27"/>
      <c r="B155" s="27"/>
      <c r="C155" s="28"/>
      <c r="D155" s="28"/>
      <c r="F155" t="str">
        <f>IF(A155="","",(VLOOKUP(A155,'🧱 Plan comptable source'!A:E,4,FALSE)))</f>
        <v/>
      </c>
      <c r="G155" t="str">
        <f>IF(A155="","",(VLOOKUP(A155,'🧱 Plan comptable source'!A:E,5,FALSE)))</f>
        <v/>
      </c>
    </row>
    <row r="156" spans="1:7" ht="20.25" customHeight="1" x14ac:dyDescent="0.25">
      <c r="A156" s="27"/>
      <c r="B156" s="27"/>
      <c r="C156" s="28"/>
      <c r="D156" s="28"/>
      <c r="F156" t="str">
        <f>IF(A156="","",(VLOOKUP(A156,'🧱 Plan comptable source'!A:E,4,FALSE)))</f>
        <v/>
      </c>
      <c r="G156" t="str">
        <f>IF(A156="","",(VLOOKUP(A156,'🧱 Plan comptable source'!A:E,5,FALSE)))</f>
        <v/>
      </c>
    </row>
    <row r="157" spans="1:7" ht="20.25" customHeight="1" x14ac:dyDescent="0.25">
      <c r="A157" s="27"/>
      <c r="B157" s="27"/>
      <c r="C157" s="28"/>
      <c r="D157" s="28"/>
      <c r="F157" t="str">
        <f>IF(A157="","",(VLOOKUP(A157,'🧱 Plan comptable source'!A:E,4,FALSE)))</f>
        <v/>
      </c>
      <c r="G157" t="str">
        <f>IF(A157="","",(VLOOKUP(A157,'🧱 Plan comptable source'!A:E,5,FALSE)))</f>
        <v/>
      </c>
    </row>
    <row r="158" spans="1:7" ht="20.25" customHeight="1" x14ac:dyDescent="0.25">
      <c r="A158" s="27"/>
      <c r="B158" s="27"/>
      <c r="C158" s="28"/>
      <c r="D158" s="28"/>
      <c r="F158" t="str">
        <f>IF(A158="","",(VLOOKUP(A158,'🧱 Plan comptable source'!A:E,4,FALSE)))</f>
        <v/>
      </c>
      <c r="G158" t="str">
        <f>IF(A158="","",(VLOOKUP(A158,'🧱 Plan comptable source'!A:E,5,FALSE)))</f>
        <v/>
      </c>
    </row>
    <row r="159" spans="1:7" ht="20.25" customHeight="1" x14ac:dyDescent="0.25">
      <c r="A159" s="27"/>
      <c r="B159" s="27"/>
      <c r="C159" s="28"/>
      <c r="D159" s="28"/>
      <c r="F159" t="str">
        <f>IF(A159="","",(VLOOKUP(A159,'🧱 Plan comptable source'!A:E,4,FALSE)))</f>
        <v/>
      </c>
      <c r="G159" t="str">
        <f>IF(A159="","",(VLOOKUP(A159,'🧱 Plan comptable source'!A:E,5,FALSE)))</f>
        <v/>
      </c>
    </row>
    <row r="160" spans="1:7" ht="20.25" customHeight="1" x14ac:dyDescent="0.25">
      <c r="A160" s="27"/>
      <c r="B160" s="27"/>
      <c r="C160" s="28"/>
      <c r="D160" s="28"/>
      <c r="F160" t="str">
        <f>IF(A160="","",(VLOOKUP(A160,'🧱 Plan comptable source'!A:E,4,FALSE)))</f>
        <v/>
      </c>
      <c r="G160" t="str">
        <f>IF(A160="","",(VLOOKUP(A160,'🧱 Plan comptable source'!A:E,5,FALSE)))</f>
        <v/>
      </c>
    </row>
    <row r="161" spans="1:7" ht="20.25" customHeight="1" x14ac:dyDescent="0.25">
      <c r="A161" s="27"/>
      <c r="B161" s="27"/>
      <c r="C161" s="28"/>
      <c r="D161" s="28"/>
      <c r="F161" t="str">
        <f>IF(A161="","",(VLOOKUP(A161,'🧱 Plan comptable source'!A:E,4,FALSE)))</f>
        <v/>
      </c>
      <c r="G161" t="str">
        <f>IF(A161="","",(VLOOKUP(A161,'🧱 Plan comptable source'!A:E,5,FALSE)))</f>
        <v/>
      </c>
    </row>
    <row r="162" spans="1:7" ht="20.25" customHeight="1" x14ac:dyDescent="0.25">
      <c r="A162" s="27"/>
      <c r="B162" s="27"/>
      <c r="C162" s="28"/>
      <c r="D162" s="28"/>
      <c r="F162" t="str">
        <f>IF(A162="","",(VLOOKUP(A162,'🧱 Plan comptable source'!A:E,4,FALSE)))</f>
        <v/>
      </c>
      <c r="G162" t="str">
        <f>IF(A162="","",(VLOOKUP(A162,'🧱 Plan comptable source'!A:E,5,FALSE)))</f>
        <v/>
      </c>
    </row>
    <row r="163" spans="1:7" ht="20.25" customHeight="1" x14ac:dyDescent="0.25">
      <c r="A163" s="27"/>
      <c r="B163" s="27"/>
      <c r="C163" s="28"/>
      <c r="D163" s="28"/>
      <c r="F163" t="str">
        <f>IF(A163="","",(VLOOKUP(A163,'🧱 Plan comptable source'!A:E,4,FALSE)))</f>
        <v/>
      </c>
      <c r="G163" t="str">
        <f>IF(A163="","",(VLOOKUP(A163,'🧱 Plan comptable source'!A:E,5,FALSE)))</f>
        <v/>
      </c>
    </row>
    <row r="164" spans="1:7" ht="20.25" customHeight="1" x14ac:dyDescent="0.25">
      <c r="A164" s="27"/>
      <c r="B164" s="27"/>
      <c r="C164" s="28"/>
      <c r="D164" s="28"/>
      <c r="F164" t="str">
        <f>IF(A164="","",(VLOOKUP(A164,'🧱 Plan comptable source'!A:E,4,FALSE)))</f>
        <v/>
      </c>
      <c r="G164" t="str">
        <f>IF(A164="","",(VLOOKUP(A164,'🧱 Plan comptable source'!A:E,5,FALSE)))</f>
        <v/>
      </c>
    </row>
    <row r="165" spans="1:7" ht="20.25" customHeight="1" x14ac:dyDescent="0.25">
      <c r="A165" s="27"/>
      <c r="B165" s="27"/>
      <c r="C165" s="28"/>
      <c r="D165" s="28"/>
      <c r="F165" t="str">
        <f>IF(A165="","",(VLOOKUP(A165,'🧱 Plan comptable source'!A:E,4,FALSE)))</f>
        <v/>
      </c>
      <c r="G165" t="str">
        <f>IF(A165="","",(VLOOKUP(A165,'🧱 Plan comptable source'!A:E,5,FALSE)))</f>
        <v/>
      </c>
    </row>
    <row r="166" spans="1:7" ht="20.25" customHeight="1" x14ac:dyDescent="0.25">
      <c r="A166" s="27"/>
      <c r="B166" s="27"/>
      <c r="C166" s="28"/>
      <c r="D166" s="28"/>
      <c r="F166" t="str">
        <f>IF(A166="","",(VLOOKUP(A166,'🧱 Plan comptable source'!A:E,4,FALSE)))</f>
        <v/>
      </c>
      <c r="G166" t="str">
        <f>IF(A166="","",(VLOOKUP(A166,'🧱 Plan comptable source'!A:E,5,FALSE)))</f>
        <v/>
      </c>
    </row>
    <row r="167" spans="1:7" ht="20.25" customHeight="1" x14ac:dyDescent="0.25">
      <c r="A167" s="27"/>
      <c r="B167" s="27"/>
      <c r="C167" s="28"/>
      <c r="D167" s="28"/>
      <c r="F167" t="str">
        <f>IF(A167="","",(VLOOKUP(A167,'🧱 Plan comptable source'!A:E,4,FALSE)))</f>
        <v/>
      </c>
      <c r="G167" t="str">
        <f>IF(A167="","",(VLOOKUP(A167,'🧱 Plan comptable source'!A:E,5,FALSE)))</f>
        <v/>
      </c>
    </row>
    <row r="168" spans="1:7" ht="20.25" customHeight="1" x14ac:dyDescent="0.25">
      <c r="A168" s="27"/>
      <c r="B168" s="27"/>
      <c r="C168" s="28"/>
      <c r="D168" s="28"/>
      <c r="F168" t="str">
        <f>IF(A168="","",(VLOOKUP(A168,'🧱 Plan comptable source'!A:E,4,FALSE)))</f>
        <v/>
      </c>
      <c r="G168" t="str">
        <f>IF(A168="","",(VLOOKUP(A168,'🧱 Plan comptable source'!A:E,5,FALSE)))</f>
        <v/>
      </c>
    </row>
    <row r="169" spans="1:7" ht="20.25" customHeight="1" x14ac:dyDescent="0.25">
      <c r="A169" s="27"/>
      <c r="B169" s="27"/>
      <c r="C169" s="28"/>
      <c r="D169" s="28"/>
      <c r="F169" t="str">
        <f>IF(A169="","",(VLOOKUP(A169,'🧱 Plan comptable source'!A:E,4,FALSE)))</f>
        <v/>
      </c>
      <c r="G169" t="str">
        <f>IF(A169="","",(VLOOKUP(A169,'🧱 Plan comptable source'!A:E,5,FALSE)))</f>
        <v/>
      </c>
    </row>
    <row r="170" spans="1:7" ht="20.25" customHeight="1" x14ac:dyDescent="0.25">
      <c r="A170" s="27"/>
      <c r="B170" s="27"/>
      <c r="C170" s="28"/>
      <c r="D170" s="28"/>
      <c r="F170" t="str">
        <f>IF(A170="","",(VLOOKUP(A170,'🧱 Plan comptable source'!A:E,4,FALSE)))</f>
        <v/>
      </c>
      <c r="G170" t="str">
        <f>IF(A170="","",(VLOOKUP(A170,'🧱 Plan comptable source'!A:E,5,FALSE)))</f>
        <v/>
      </c>
    </row>
    <row r="171" spans="1:7" ht="20.25" customHeight="1" x14ac:dyDescent="0.25">
      <c r="A171" s="27"/>
      <c r="B171" s="27"/>
      <c r="C171" s="28"/>
      <c r="D171" s="28"/>
      <c r="F171" t="str">
        <f>IF(A171="","",(VLOOKUP(A171,'🧱 Plan comptable source'!A:E,4,FALSE)))</f>
        <v/>
      </c>
      <c r="G171" t="str">
        <f>IF(A171="","",(VLOOKUP(A171,'🧱 Plan comptable source'!A:E,5,FALSE)))</f>
        <v/>
      </c>
    </row>
    <row r="172" spans="1:7" ht="20.25" customHeight="1" x14ac:dyDescent="0.25">
      <c r="A172" s="27"/>
      <c r="B172" s="27"/>
      <c r="C172" s="28"/>
      <c r="D172" s="28"/>
      <c r="F172" t="str">
        <f>IF(A172="","",(VLOOKUP(A172,'🧱 Plan comptable source'!A:E,4,FALSE)))</f>
        <v/>
      </c>
      <c r="G172" t="str">
        <f>IF(A172="","",(VLOOKUP(A172,'🧱 Plan comptable source'!A:E,5,FALSE)))</f>
        <v/>
      </c>
    </row>
    <row r="173" spans="1:7" ht="20.25" customHeight="1" x14ac:dyDescent="0.25">
      <c r="A173" s="27"/>
      <c r="B173" s="27"/>
      <c r="C173" s="28"/>
      <c r="D173" s="28"/>
      <c r="F173" t="str">
        <f>IF(A173="","",(VLOOKUP(A173,'🧱 Plan comptable source'!A:E,4,FALSE)))</f>
        <v/>
      </c>
      <c r="G173" t="str">
        <f>IF(A173="","",(VLOOKUP(A173,'🧱 Plan comptable source'!A:E,5,FALSE)))</f>
        <v/>
      </c>
    </row>
    <row r="174" spans="1:7" ht="20.25" customHeight="1" x14ac:dyDescent="0.25">
      <c r="A174" s="27"/>
      <c r="B174" s="27"/>
      <c r="C174" s="28"/>
      <c r="D174" s="28"/>
      <c r="F174" t="str">
        <f>IF(A174="","",(VLOOKUP(A174,'🧱 Plan comptable source'!A:E,4,FALSE)))</f>
        <v/>
      </c>
      <c r="G174" t="str">
        <f>IF(A174="","",(VLOOKUP(A174,'🧱 Plan comptable source'!A:E,5,FALSE)))</f>
        <v/>
      </c>
    </row>
    <row r="175" spans="1:7" ht="20.25" customHeight="1" x14ac:dyDescent="0.25">
      <c r="A175" s="27"/>
      <c r="B175" s="27"/>
      <c r="C175" s="28"/>
      <c r="D175" s="28"/>
      <c r="F175" t="str">
        <f>IF(A175="","",(VLOOKUP(A175,'🧱 Plan comptable source'!A:E,4,FALSE)))</f>
        <v/>
      </c>
      <c r="G175" t="str">
        <f>IF(A175="","",(VLOOKUP(A175,'🧱 Plan comptable source'!A:E,5,FALSE)))</f>
        <v/>
      </c>
    </row>
    <row r="176" spans="1:7" ht="20.25" customHeight="1" x14ac:dyDescent="0.25">
      <c r="A176" s="27"/>
      <c r="B176" s="27"/>
      <c r="C176" s="28"/>
      <c r="D176" s="28"/>
      <c r="F176" t="str">
        <f>IF(A176="","",(VLOOKUP(A176,'🧱 Plan comptable source'!A:E,4,FALSE)))</f>
        <v/>
      </c>
      <c r="G176" t="str">
        <f>IF(A176="","",(VLOOKUP(A176,'🧱 Plan comptable source'!A:E,5,FALSE)))</f>
        <v/>
      </c>
    </row>
    <row r="177" spans="1:7" ht="20.25" customHeight="1" x14ac:dyDescent="0.25">
      <c r="A177" s="27"/>
      <c r="B177" s="27"/>
      <c r="C177" s="28"/>
      <c r="D177" s="28"/>
      <c r="F177" t="str">
        <f>IF(A177="","",(VLOOKUP(A177,'🧱 Plan comptable source'!A:E,4,FALSE)))</f>
        <v/>
      </c>
      <c r="G177" t="str">
        <f>IF(A177="","",(VLOOKUP(A177,'🧱 Plan comptable source'!A:E,5,FALSE)))</f>
        <v/>
      </c>
    </row>
    <row r="178" spans="1:7" ht="20.25" customHeight="1" x14ac:dyDescent="0.25">
      <c r="A178" s="27"/>
      <c r="B178" s="27"/>
      <c r="C178" s="28"/>
      <c r="D178" s="28"/>
      <c r="F178" t="str">
        <f>IF(A178="","",(VLOOKUP(A178,'🧱 Plan comptable source'!A:E,4,FALSE)))</f>
        <v/>
      </c>
      <c r="G178" t="str">
        <f>IF(A178="","",(VLOOKUP(A178,'🧱 Plan comptable source'!A:E,5,FALSE)))</f>
        <v/>
      </c>
    </row>
    <row r="179" spans="1:7" ht="20.25" customHeight="1" x14ac:dyDescent="0.25">
      <c r="A179" s="27"/>
      <c r="B179" s="27"/>
      <c r="C179" s="28"/>
      <c r="D179" s="28"/>
      <c r="F179" t="str">
        <f>IF(A179="","",(VLOOKUP(A179,'🧱 Plan comptable source'!A:E,4,FALSE)))</f>
        <v/>
      </c>
      <c r="G179" t="str">
        <f>IF(A179="","",(VLOOKUP(A179,'🧱 Plan comptable source'!A:E,5,FALSE)))</f>
        <v/>
      </c>
    </row>
    <row r="180" spans="1:7" ht="20.25" customHeight="1" x14ac:dyDescent="0.25">
      <c r="A180" s="27"/>
      <c r="B180" s="27"/>
      <c r="C180" s="28"/>
      <c r="D180" s="28"/>
      <c r="F180" t="str">
        <f>IF(A180="","",(VLOOKUP(A180,'🧱 Plan comptable source'!A:E,4,FALSE)))</f>
        <v/>
      </c>
      <c r="G180" t="str">
        <f>IF(A180="","",(VLOOKUP(A180,'🧱 Plan comptable source'!A:E,5,FALSE)))</f>
        <v/>
      </c>
    </row>
    <row r="181" spans="1:7" ht="20.25" customHeight="1" x14ac:dyDescent="0.25">
      <c r="A181" s="27"/>
      <c r="B181" s="27"/>
      <c r="C181" s="28"/>
      <c r="D181" s="28"/>
      <c r="F181" t="str">
        <f>IF(A181="","",(VLOOKUP(A181,'🧱 Plan comptable source'!A:E,4,FALSE)))</f>
        <v/>
      </c>
      <c r="G181" t="str">
        <f>IF(A181="","",(VLOOKUP(A181,'🧱 Plan comptable source'!A:E,5,FALSE)))</f>
        <v/>
      </c>
    </row>
    <row r="182" spans="1:7" ht="20.25" customHeight="1" x14ac:dyDescent="0.25">
      <c r="A182" s="27"/>
      <c r="B182" s="27"/>
      <c r="C182" s="28"/>
      <c r="D182" s="28"/>
      <c r="F182" t="str">
        <f>IF(A182="","",(VLOOKUP(A182,'🧱 Plan comptable source'!A:E,4,FALSE)))</f>
        <v/>
      </c>
      <c r="G182" t="str">
        <f>IF(A182="","",(VLOOKUP(A182,'🧱 Plan comptable source'!A:E,5,FALSE)))</f>
        <v/>
      </c>
    </row>
    <row r="183" spans="1:7" ht="20.25" customHeight="1" x14ac:dyDescent="0.25">
      <c r="A183" s="27"/>
      <c r="B183" s="27"/>
      <c r="C183" s="28"/>
      <c r="D183" s="28"/>
      <c r="F183" t="str">
        <f>IF(A183="","",(VLOOKUP(A183,'🧱 Plan comptable source'!A:E,4,FALSE)))</f>
        <v/>
      </c>
      <c r="G183" t="str">
        <f>IF(A183="","",(VLOOKUP(A183,'🧱 Plan comptable source'!A:E,5,FALSE)))</f>
        <v/>
      </c>
    </row>
    <row r="184" spans="1:7" ht="20.25" customHeight="1" x14ac:dyDescent="0.25">
      <c r="A184" s="27"/>
      <c r="B184" s="27"/>
      <c r="C184" s="28"/>
      <c r="D184" s="28"/>
      <c r="F184" t="str">
        <f>IF(A184="","",(VLOOKUP(A184,'🧱 Plan comptable source'!A:E,4,FALSE)))</f>
        <v/>
      </c>
      <c r="G184" t="str">
        <f>IF(A184="","",(VLOOKUP(A184,'🧱 Plan comptable source'!A:E,5,FALSE)))</f>
        <v/>
      </c>
    </row>
    <row r="185" spans="1:7" ht="20.25" customHeight="1" x14ac:dyDescent="0.25">
      <c r="A185" s="27"/>
      <c r="B185" s="27"/>
      <c r="C185" s="28"/>
      <c r="D185" s="28"/>
      <c r="F185" t="str">
        <f>IF(A185="","",(VLOOKUP(A185,'🧱 Plan comptable source'!A:E,4,FALSE)))</f>
        <v/>
      </c>
      <c r="G185" t="str">
        <f>IF(A185="","",(VLOOKUP(A185,'🧱 Plan comptable source'!A:E,5,FALSE)))</f>
        <v/>
      </c>
    </row>
    <row r="186" spans="1:7" ht="20.25" customHeight="1" x14ac:dyDescent="0.25">
      <c r="A186" s="27"/>
      <c r="B186" s="27"/>
      <c r="C186" s="28"/>
      <c r="D186" s="28"/>
      <c r="F186" t="str">
        <f>IF(A186="","",(VLOOKUP(A186,'🧱 Plan comptable source'!A:E,4,FALSE)))</f>
        <v/>
      </c>
      <c r="G186" t="str">
        <f>IF(A186="","",(VLOOKUP(A186,'🧱 Plan comptable source'!A:E,5,FALSE)))</f>
        <v/>
      </c>
    </row>
    <row r="187" spans="1:7" ht="20.25" customHeight="1" x14ac:dyDescent="0.25">
      <c r="A187" s="27"/>
      <c r="B187" s="27"/>
      <c r="C187" s="28"/>
      <c r="D187" s="28"/>
      <c r="F187" t="str">
        <f>IF(A187="","",(VLOOKUP(A187,'🧱 Plan comptable source'!A:E,4,FALSE)))</f>
        <v/>
      </c>
      <c r="G187" t="str">
        <f>IF(A187="","",(VLOOKUP(A187,'🧱 Plan comptable source'!A:E,5,FALSE)))</f>
        <v/>
      </c>
    </row>
    <row r="188" spans="1:7" ht="20.25" customHeight="1" x14ac:dyDescent="0.25">
      <c r="A188" s="27"/>
      <c r="B188" s="27"/>
      <c r="C188" s="28"/>
      <c r="D188" s="28"/>
      <c r="F188" t="str">
        <f>IF(A188="","",(VLOOKUP(A188,'🧱 Plan comptable source'!A:E,4,FALSE)))</f>
        <v/>
      </c>
      <c r="G188" t="str">
        <f>IF(A188="","",(VLOOKUP(A188,'🧱 Plan comptable source'!A:E,5,FALSE)))</f>
        <v/>
      </c>
    </row>
    <row r="189" spans="1:7" ht="20.25" customHeight="1" x14ac:dyDescent="0.25">
      <c r="A189" s="27"/>
      <c r="B189" s="27"/>
      <c r="C189" s="28"/>
      <c r="D189" s="28"/>
      <c r="F189" t="str">
        <f>IF(A189="","",(VLOOKUP(A189,'🧱 Plan comptable source'!A:E,4,FALSE)))</f>
        <v/>
      </c>
      <c r="G189" t="str">
        <f>IF(A189="","",(VLOOKUP(A189,'🧱 Plan comptable source'!A:E,5,FALSE)))</f>
        <v/>
      </c>
    </row>
    <row r="190" spans="1:7" ht="20.25" customHeight="1" x14ac:dyDescent="0.25">
      <c r="A190" s="27"/>
      <c r="B190" s="27"/>
      <c r="C190" s="28"/>
      <c r="D190" s="28"/>
      <c r="F190" t="str">
        <f>IF(A190="","",(VLOOKUP(A190,'🧱 Plan comptable source'!A:E,4,FALSE)))</f>
        <v/>
      </c>
      <c r="G190" t="str">
        <f>IF(A190="","",(VLOOKUP(A190,'🧱 Plan comptable source'!A:E,5,FALSE)))</f>
        <v/>
      </c>
    </row>
    <row r="191" spans="1:7" ht="20.25" customHeight="1" x14ac:dyDescent="0.25">
      <c r="A191" s="27"/>
      <c r="B191" s="27"/>
      <c r="C191" s="28"/>
      <c r="D191" s="28"/>
      <c r="F191" t="str">
        <f>IF(A191="","",(VLOOKUP(A191,'🧱 Plan comptable source'!A:E,4,FALSE)))</f>
        <v/>
      </c>
      <c r="G191" t="str">
        <f>IF(A191="","",(VLOOKUP(A191,'🧱 Plan comptable source'!A:E,5,FALSE)))</f>
        <v/>
      </c>
    </row>
    <row r="192" spans="1:7" ht="20.25" customHeight="1" x14ac:dyDescent="0.25">
      <c r="A192" s="27"/>
      <c r="B192" s="27"/>
      <c r="C192" s="28"/>
      <c r="D192" s="28"/>
      <c r="F192" t="str">
        <f>IF(A192="","",(VLOOKUP(A192,'🧱 Plan comptable source'!A:E,4,FALSE)))</f>
        <v/>
      </c>
      <c r="G192" t="str">
        <f>IF(A192="","",(VLOOKUP(A192,'🧱 Plan comptable source'!A:E,5,FALSE)))</f>
        <v/>
      </c>
    </row>
    <row r="193" spans="1:7" ht="20.25" customHeight="1" x14ac:dyDescent="0.25">
      <c r="A193" s="27"/>
      <c r="B193" s="27"/>
      <c r="C193" s="28"/>
      <c r="D193" s="28"/>
      <c r="F193" t="str">
        <f>IF(A193="","",(VLOOKUP(A193,'🧱 Plan comptable source'!A:E,4,FALSE)))</f>
        <v/>
      </c>
      <c r="G193" t="str">
        <f>IF(A193="","",(VLOOKUP(A193,'🧱 Plan comptable source'!A:E,5,FALSE)))</f>
        <v/>
      </c>
    </row>
    <row r="194" spans="1:7" ht="20.25" customHeight="1" x14ac:dyDescent="0.25">
      <c r="A194" s="27"/>
      <c r="B194" s="27"/>
      <c r="C194" s="28"/>
      <c r="D194" s="28"/>
      <c r="F194" t="str">
        <f>IF(A194="","",(VLOOKUP(A194,'🧱 Plan comptable source'!A:E,4,FALSE)))</f>
        <v/>
      </c>
      <c r="G194" t="str">
        <f>IF(A194="","",(VLOOKUP(A194,'🧱 Plan comptable source'!A:E,5,FALSE)))</f>
        <v/>
      </c>
    </row>
    <row r="195" spans="1:7" ht="20.25" customHeight="1" x14ac:dyDescent="0.25">
      <c r="A195" s="27"/>
      <c r="B195" s="27"/>
      <c r="C195" s="28"/>
      <c r="D195" s="28"/>
      <c r="F195" t="str">
        <f>IF(A195="","",(VLOOKUP(A195,'🧱 Plan comptable source'!A:E,4,FALSE)))</f>
        <v/>
      </c>
      <c r="G195" t="str">
        <f>IF(A195="","",(VLOOKUP(A195,'🧱 Plan comptable source'!A:E,5,FALSE)))</f>
        <v/>
      </c>
    </row>
    <row r="196" spans="1:7" ht="20.25" customHeight="1" x14ac:dyDescent="0.25">
      <c r="A196" s="27"/>
      <c r="B196" s="27"/>
      <c r="C196" s="28"/>
      <c r="D196" s="28"/>
      <c r="F196" t="str">
        <f>IF(A196="","",(VLOOKUP(A196,'🧱 Plan comptable source'!A:E,4,FALSE)))</f>
        <v/>
      </c>
      <c r="G196" t="str">
        <f>IF(A196="","",(VLOOKUP(A196,'🧱 Plan comptable source'!A:E,5,FALSE)))</f>
        <v/>
      </c>
    </row>
    <row r="197" spans="1:7" ht="20.25" customHeight="1" x14ac:dyDescent="0.25">
      <c r="A197" s="27"/>
      <c r="B197" s="27"/>
      <c r="C197" s="28"/>
      <c r="D197" s="28"/>
      <c r="F197" t="str">
        <f>IF(A197="","",(VLOOKUP(A197,'🧱 Plan comptable source'!A:E,4,FALSE)))</f>
        <v/>
      </c>
      <c r="G197" t="str">
        <f>IF(A197="","",(VLOOKUP(A197,'🧱 Plan comptable source'!A:E,5,FALSE)))</f>
        <v/>
      </c>
    </row>
    <row r="198" spans="1:7" ht="20.25" customHeight="1" x14ac:dyDescent="0.25">
      <c r="A198" s="27"/>
      <c r="B198" s="27"/>
      <c r="C198" s="28"/>
      <c r="D198" s="28"/>
      <c r="F198" t="str">
        <f>IF(A198="","",(VLOOKUP(A198,'🧱 Plan comptable source'!A:E,4,FALSE)))</f>
        <v/>
      </c>
      <c r="G198" t="str">
        <f>IF(A198="","",(VLOOKUP(A198,'🧱 Plan comptable source'!A:E,5,FALSE)))</f>
        <v/>
      </c>
    </row>
    <row r="199" spans="1:7" ht="20.25" customHeight="1" x14ac:dyDescent="0.25">
      <c r="A199" s="27"/>
      <c r="B199" s="27"/>
      <c r="C199" s="28"/>
      <c r="D199" s="28"/>
      <c r="F199" t="str">
        <f>IF(A199="","",(VLOOKUP(A199,'🧱 Plan comptable source'!A:E,4,FALSE)))</f>
        <v/>
      </c>
      <c r="G199" t="str">
        <f>IF(A199="","",(VLOOKUP(A199,'🧱 Plan comptable source'!A:E,5,FALSE)))</f>
        <v/>
      </c>
    </row>
    <row r="200" spans="1:7" ht="20.25" customHeight="1" x14ac:dyDescent="0.25">
      <c r="A200" s="27"/>
      <c r="B200" s="27"/>
      <c r="C200" s="28"/>
      <c r="D200" s="28"/>
      <c r="F200" t="str">
        <f>IF(A200="","",(VLOOKUP(A200,'🧱 Plan comptable source'!A:E,4,FALSE)))</f>
        <v/>
      </c>
      <c r="G200" t="str">
        <f>IF(A200="","",(VLOOKUP(A200,'🧱 Plan comptable source'!A:E,5,FALSE)))</f>
        <v/>
      </c>
    </row>
    <row r="201" spans="1:7" ht="20.25" customHeight="1" x14ac:dyDescent="0.25">
      <c r="A201" s="27"/>
      <c r="B201" s="27"/>
      <c r="C201" s="28"/>
      <c r="D201" s="28"/>
      <c r="F201" t="str">
        <f>IF(A201="","",(VLOOKUP(A201,'🧱 Plan comptable source'!A:E,4,FALSE)))</f>
        <v/>
      </c>
      <c r="G201" t="str">
        <f>IF(A201="","",(VLOOKUP(A201,'🧱 Plan comptable source'!A:E,5,FALSE)))</f>
        <v/>
      </c>
    </row>
    <row r="202" spans="1:7" ht="20.25" customHeight="1" x14ac:dyDescent="0.25">
      <c r="A202" s="27"/>
      <c r="B202" s="27"/>
      <c r="C202" s="28"/>
      <c r="D202" s="28"/>
      <c r="F202" t="str">
        <f>IF(A202="","",(VLOOKUP(A202,'🧱 Plan comptable source'!A:E,4,FALSE)))</f>
        <v/>
      </c>
      <c r="G202" t="str">
        <f>IF(A202="","",(VLOOKUP(A202,'🧱 Plan comptable source'!A:E,5,FALSE)))</f>
        <v/>
      </c>
    </row>
    <row r="203" spans="1:7" ht="20.25" customHeight="1" x14ac:dyDescent="0.25">
      <c r="A203" s="27"/>
      <c r="B203" s="27"/>
      <c r="C203" s="28"/>
      <c r="D203" s="28"/>
      <c r="F203" t="str">
        <f>IF(A203="","",(VLOOKUP(A203,'🧱 Plan comptable source'!A:E,4,FALSE)))</f>
        <v/>
      </c>
      <c r="G203" t="str">
        <f>IF(A203="","",(VLOOKUP(A203,'🧱 Plan comptable source'!A:E,5,FALSE)))</f>
        <v/>
      </c>
    </row>
    <row r="204" spans="1:7" ht="20.25" customHeight="1" x14ac:dyDescent="0.25">
      <c r="A204" s="27"/>
      <c r="B204" s="27"/>
      <c r="C204" s="28"/>
      <c r="D204" s="28"/>
      <c r="F204" t="str">
        <f>IF(A204="","",(VLOOKUP(A204,'🧱 Plan comptable source'!A:E,4,FALSE)))</f>
        <v/>
      </c>
      <c r="G204" t="str">
        <f>IF(A204="","",(VLOOKUP(A204,'🧱 Plan comptable source'!A:E,5,FALSE)))</f>
        <v/>
      </c>
    </row>
    <row r="205" spans="1:7" ht="20.25" customHeight="1" x14ac:dyDescent="0.25">
      <c r="A205" s="27"/>
      <c r="B205" s="27"/>
      <c r="C205" s="28"/>
      <c r="D205" s="28"/>
      <c r="F205" t="str">
        <f>IF(A205="","",(VLOOKUP(A205,'🧱 Plan comptable source'!A:E,4,FALSE)))</f>
        <v/>
      </c>
      <c r="G205" t="str">
        <f>IF(A205="","",(VLOOKUP(A205,'🧱 Plan comptable source'!A:E,5,FALSE)))</f>
        <v/>
      </c>
    </row>
    <row r="206" spans="1:7" ht="20.25" customHeight="1" x14ac:dyDescent="0.25">
      <c r="A206" s="27"/>
      <c r="B206" s="27"/>
      <c r="C206" s="28"/>
      <c r="D206" s="28"/>
      <c r="F206" t="str">
        <f>IF(A206="","",(VLOOKUP(A206,'🧱 Plan comptable source'!A:E,4,FALSE)))</f>
        <v/>
      </c>
      <c r="G206" t="str">
        <f>IF(A206="","",(VLOOKUP(A206,'🧱 Plan comptable source'!A:E,5,FALSE)))</f>
        <v/>
      </c>
    </row>
    <row r="207" spans="1:7" ht="20.25" customHeight="1" x14ac:dyDescent="0.25">
      <c r="A207" s="27"/>
      <c r="B207" s="27"/>
      <c r="C207" s="28"/>
      <c r="D207" s="28"/>
      <c r="F207" t="str">
        <f>IF(A207="","",(VLOOKUP(A207,'🧱 Plan comptable source'!A:E,4,FALSE)))</f>
        <v/>
      </c>
      <c r="G207" t="str">
        <f>IF(A207="","",(VLOOKUP(A207,'🧱 Plan comptable source'!A:E,5,FALSE)))</f>
        <v/>
      </c>
    </row>
    <row r="208" spans="1:7" ht="20.25" customHeight="1" x14ac:dyDescent="0.25">
      <c r="A208" s="27"/>
      <c r="B208" s="27"/>
      <c r="C208" s="28"/>
      <c r="D208" s="28"/>
      <c r="F208" t="str">
        <f>IF(A208="","",(VLOOKUP(A208,'🧱 Plan comptable source'!A:E,4,FALSE)))</f>
        <v/>
      </c>
      <c r="G208" t="str">
        <f>IF(A208="","",(VLOOKUP(A208,'🧱 Plan comptable source'!A:E,5,FALSE)))</f>
        <v/>
      </c>
    </row>
    <row r="209" spans="1:7" ht="20.25" customHeight="1" x14ac:dyDescent="0.25">
      <c r="A209" s="27"/>
      <c r="B209" s="27"/>
      <c r="C209" s="28"/>
      <c r="D209" s="28"/>
      <c r="F209" t="str">
        <f>IF(A209="","",(VLOOKUP(A209,'🧱 Plan comptable source'!A:E,4,FALSE)))</f>
        <v/>
      </c>
      <c r="G209" t="str">
        <f>IF(A209="","",(VLOOKUP(A209,'🧱 Plan comptable source'!A:E,5,FALSE)))</f>
        <v/>
      </c>
    </row>
    <row r="210" spans="1:7" ht="20.25" customHeight="1" x14ac:dyDescent="0.25">
      <c r="A210" s="27"/>
      <c r="B210" s="27"/>
      <c r="C210" s="28"/>
      <c r="D210" s="28"/>
      <c r="F210" t="str">
        <f>IF(A210="","",(VLOOKUP(A210,'🧱 Plan comptable source'!A:E,4,FALSE)))</f>
        <v/>
      </c>
      <c r="G210" t="str">
        <f>IF(A210="","",(VLOOKUP(A210,'🧱 Plan comptable source'!A:E,5,FALSE)))</f>
        <v/>
      </c>
    </row>
    <row r="211" spans="1:7" ht="20.25" customHeight="1" x14ac:dyDescent="0.25">
      <c r="A211" s="27"/>
      <c r="B211" s="27"/>
      <c r="C211" s="28"/>
      <c r="D211" s="28"/>
      <c r="F211" t="str">
        <f>IF(A211="","",(VLOOKUP(A211,'🧱 Plan comptable source'!A:E,4,FALSE)))</f>
        <v/>
      </c>
      <c r="G211" t="str">
        <f>IF(A211="","",(VLOOKUP(A211,'🧱 Plan comptable source'!A:E,5,FALSE)))</f>
        <v/>
      </c>
    </row>
    <row r="212" spans="1:7" ht="20.25" customHeight="1" x14ac:dyDescent="0.25">
      <c r="A212" s="27"/>
      <c r="B212" s="27"/>
      <c r="C212" s="28"/>
      <c r="D212" s="28"/>
      <c r="F212" t="str">
        <f>IF(A212="","",(VLOOKUP(A212,'🧱 Plan comptable source'!A:E,4,FALSE)))</f>
        <v/>
      </c>
      <c r="G212" t="str">
        <f>IF(A212="","",(VLOOKUP(A212,'🧱 Plan comptable source'!A:E,5,FALSE)))</f>
        <v/>
      </c>
    </row>
    <row r="213" spans="1:7" ht="20.25" customHeight="1" x14ac:dyDescent="0.25">
      <c r="A213" s="27"/>
      <c r="B213" s="27"/>
      <c r="C213" s="28"/>
      <c r="D213" s="28"/>
      <c r="F213" t="str">
        <f>IF(A213="","",(VLOOKUP(A213,'🧱 Plan comptable source'!A:E,4,FALSE)))</f>
        <v/>
      </c>
      <c r="G213" t="str">
        <f>IF(A213="","",(VLOOKUP(A213,'🧱 Plan comptable source'!A:E,5,FALSE)))</f>
        <v/>
      </c>
    </row>
    <row r="214" spans="1:7" ht="20.25" customHeight="1" x14ac:dyDescent="0.25">
      <c r="A214" s="27"/>
      <c r="B214" s="27"/>
      <c r="C214" s="28"/>
      <c r="D214" s="28"/>
      <c r="F214" t="str">
        <f>IF(A214="","",(VLOOKUP(A214,'🧱 Plan comptable source'!A:E,4,FALSE)))</f>
        <v/>
      </c>
      <c r="G214" t="str">
        <f>IF(A214="","",(VLOOKUP(A214,'🧱 Plan comptable source'!A:E,5,FALSE)))</f>
        <v/>
      </c>
    </row>
    <row r="215" spans="1:7" ht="20.25" customHeight="1" x14ac:dyDescent="0.25">
      <c r="A215" s="27"/>
      <c r="B215" s="27"/>
      <c r="C215" s="28"/>
      <c r="D215" s="28"/>
      <c r="F215" t="str">
        <f>IF(A215="","",(VLOOKUP(A215,'🧱 Plan comptable source'!A:E,4,FALSE)))</f>
        <v/>
      </c>
      <c r="G215" t="str">
        <f>IF(A215="","",(VLOOKUP(A215,'🧱 Plan comptable source'!A:E,5,FALSE)))</f>
        <v/>
      </c>
    </row>
    <row r="216" spans="1:7" ht="20.25" customHeight="1" x14ac:dyDescent="0.25">
      <c r="A216" s="27"/>
      <c r="B216" s="27"/>
      <c r="C216" s="28"/>
      <c r="D216" s="28"/>
      <c r="F216" t="str">
        <f>IF(A216="","",(VLOOKUP(A216,'🧱 Plan comptable source'!A:E,4,FALSE)))</f>
        <v/>
      </c>
      <c r="G216" t="str">
        <f>IF(A216="","",(VLOOKUP(A216,'🧱 Plan comptable source'!A:E,5,FALSE)))</f>
        <v/>
      </c>
    </row>
    <row r="217" spans="1:7" ht="20.25" customHeight="1" x14ac:dyDescent="0.25">
      <c r="A217" s="27"/>
      <c r="B217" s="27"/>
      <c r="C217" s="28"/>
      <c r="D217" s="28"/>
      <c r="F217" t="str">
        <f>IF(A217="","",(VLOOKUP(A217,'🧱 Plan comptable source'!A:E,4,FALSE)))</f>
        <v/>
      </c>
      <c r="G217" t="str">
        <f>IF(A217="","",(VLOOKUP(A217,'🧱 Plan comptable source'!A:E,5,FALSE)))</f>
        <v/>
      </c>
    </row>
    <row r="218" spans="1:7" ht="20.25" customHeight="1" x14ac:dyDescent="0.25">
      <c r="A218" s="27"/>
      <c r="B218" s="27"/>
      <c r="C218" s="28"/>
      <c r="D218" s="28"/>
      <c r="F218" t="str">
        <f>IF(A218="","",(VLOOKUP(A218,'🧱 Plan comptable source'!A:E,4,FALSE)))</f>
        <v/>
      </c>
      <c r="G218" t="str">
        <f>IF(A218="","",(VLOOKUP(A218,'🧱 Plan comptable source'!A:E,5,FALSE)))</f>
        <v/>
      </c>
    </row>
    <row r="219" spans="1:7" ht="20.25" customHeight="1" x14ac:dyDescent="0.25">
      <c r="A219" s="27"/>
      <c r="B219" s="27"/>
      <c r="C219" s="28"/>
      <c r="D219" s="28"/>
      <c r="F219" t="str">
        <f>IF(A219="","",(VLOOKUP(A219,'🧱 Plan comptable source'!A:E,4,FALSE)))</f>
        <v/>
      </c>
      <c r="G219" t="str">
        <f>IF(A219="","",(VLOOKUP(A219,'🧱 Plan comptable source'!A:E,5,FALSE)))</f>
        <v/>
      </c>
    </row>
    <row r="220" spans="1:7" ht="20.25" customHeight="1" x14ac:dyDescent="0.25">
      <c r="A220" s="27"/>
      <c r="B220" s="27"/>
      <c r="C220" s="28"/>
      <c r="D220" s="28"/>
      <c r="F220" t="str">
        <f>IF(A220="","",(VLOOKUP(A220,'🧱 Plan comptable source'!A:E,4,FALSE)))</f>
        <v/>
      </c>
      <c r="G220" t="str">
        <f>IF(A220="","",(VLOOKUP(A220,'🧱 Plan comptable source'!A:E,5,FALSE)))</f>
        <v/>
      </c>
    </row>
    <row r="221" spans="1:7" ht="20.25" customHeight="1" x14ac:dyDescent="0.25">
      <c r="A221" s="27"/>
      <c r="B221" s="27"/>
      <c r="C221" s="28"/>
      <c r="D221" s="28"/>
      <c r="F221" t="str">
        <f>IF(A221="","",(VLOOKUP(A221,'🧱 Plan comptable source'!A:E,4,FALSE)))</f>
        <v/>
      </c>
      <c r="G221" t="str">
        <f>IF(A221="","",(VLOOKUP(A221,'🧱 Plan comptable source'!A:E,5,FALSE)))</f>
        <v/>
      </c>
    </row>
    <row r="222" spans="1:7" ht="20.25" customHeight="1" x14ac:dyDescent="0.25">
      <c r="A222" s="27"/>
      <c r="B222" s="27"/>
      <c r="C222" s="28"/>
      <c r="D222" s="28"/>
      <c r="F222" t="str">
        <f>IF(A222="","",(VLOOKUP(A222,'🧱 Plan comptable source'!A:E,4,FALSE)))</f>
        <v/>
      </c>
      <c r="G222" t="str">
        <f>IF(A222="","",(VLOOKUP(A222,'🧱 Plan comptable source'!A:E,5,FALSE)))</f>
        <v/>
      </c>
    </row>
    <row r="223" spans="1:7" ht="20.25" customHeight="1" x14ac:dyDescent="0.25">
      <c r="A223" s="27"/>
      <c r="B223" s="27"/>
      <c r="C223" s="28"/>
      <c r="D223" s="28"/>
      <c r="F223" t="str">
        <f>IF(A223="","",(VLOOKUP(A223,'🧱 Plan comptable source'!A:E,4,FALSE)))</f>
        <v/>
      </c>
      <c r="G223" t="str">
        <f>IF(A223="","",(VLOOKUP(A223,'🧱 Plan comptable source'!A:E,5,FALSE)))</f>
        <v/>
      </c>
    </row>
    <row r="224" spans="1:7" ht="20.25" customHeight="1" x14ac:dyDescent="0.25">
      <c r="A224" s="27"/>
      <c r="B224" s="27"/>
      <c r="C224" s="28"/>
      <c r="D224" s="28"/>
      <c r="F224" t="str">
        <f>IF(A224="","",(VLOOKUP(A224,'🧱 Plan comptable source'!A:E,4,FALSE)))</f>
        <v/>
      </c>
      <c r="G224" t="str">
        <f>IF(A224="","",(VLOOKUP(A224,'🧱 Plan comptable source'!A:E,5,FALSE)))</f>
        <v/>
      </c>
    </row>
    <row r="225" spans="1:7" ht="20.25" customHeight="1" x14ac:dyDescent="0.25">
      <c r="A225" s="27"/>
      <c r="B225" s="27"/>
      <c r="C225" s="28"/>
      <c r="D225" s="28"/>
      <c r="F225" t="str">
        <f>IF(A225="","",(VLOOKUP(A225,'🧱 Plan comptable source'!A:E,4,FALSE)))</f>
        <v/>
      </c>
      <c r="G225" t="str">
        <f>IF(A225="","",(VLOOKUP(A225,'🧱 Plan comptable source'!A:E,5,FALSE)))</f>
        <v/>
      </c>
    </row>
    <row r="226" spans="1:7" ht="20.25" customHeight="1" x14ac:dyDescent="0.25">
      <c r="A226" s="27"/>
      <c r="B226" s="27"/>
      <c r="C226" s="28"/>
      <c r="D226" s="28"/>
      <c r="F226" t="str">
        <f>IF(A226="","",(VLOOKUP(A226,'🧱 Plan comptable source'!A:E,4,FALSE)))</f>
        <v/>
      </c>
      <c r="G226" t="str">
        <f>IF(A226="","",(VLOOKUP(A226,'🧱 Plan comptable source'!A:E,5,FALSE)))</f>
        <v/>
      </c>
    </row>
    <row r="227" spans="1:7" ht="20.25" customHeight="1" x14ac:dyDescent="0.25">
      <c r="A227" s="27"/>
      <c r="B227" s="27"/>
      <c r="C227" s="28"/>
      <c r="D227" s="28"/>
      <c r="F227" t="str">
        <f>IF(A227="","",(VLOOKUP(A227,'🧱 Plan comptable source'!A:E,4,FALSE)))</f>
        <v/>
      </c>
      <c r="G227" t="str">
        <f>IF(A227="","",(VLOOKUP(A227,'🧱 Plan comptable source'!A:E,5,FALSE)))</f>
        <v/>
      </c>
    </row>
    <row r="228" spans="1:7" ht="20.25" customHeight="1" x14ac:dyDescent="0.25">
      <c r="A228" s="27"/>
      <c r="B228" s="27"/>
      <c r="C228" s="28"/>
      <c r="D228" s="28"/>
      <c r="F228" t="str">
        <f>IF(A228="","",(VLOOKUP(A228,'🧱 Plan comptable source'!A:E,4,FALSE)))</f>
        <v/>
      </c>
      <c r="G228" t="str">
        <f>IF(A228="","",(VLOOKUP(A228,'🧱 Plan comptable source'!A:E,5,FALSE)))</f>
        <v/>
      </c>
    </row>
    <row r="229" spans="1:7" ht="20.25" customHeight="1" x14ac:dyDescent="0.25">
      <c r="A229" s="27"/>
      <c r="B229" s="27"/>
      <c r="C229" s="28"/>
      <c r="D229" s="28"/>
      <c r="F229" t="str">
        <f>IF(A229="","",(VLOOKUP(A229,'🧱 Plan comptable source'!A:E,4,FALSE)))</f>
        <v/>
      </c>
      <c r="G229" t="str">
        <f>IF(A229="","",(VLOOKUP(A229,'🧱 Plan comptable source'!A:E,5,FALSE)))</f>
        <v/>
      </c>
    </row>
    <row r="230" spans="1:7" ht="20.25" customHeight="1" x14ac:dyDescent="0.25">
      <c r="A230" s="27"/>
      <c r="B230" s="27"/>
      <c r="C230" s="28"/>
      <c r="D230" s="28"/>
      <c r="F230" t="str">
        <f>IF(A230="","",(VLOOKUP(A230,'🧱 Plan comptable source'!A:E,4,FALSE)))</f>
        <v/>
      </c>
      <c r="G230" t="str">
        <f>IF(A230="","",(VLOOKUP(A230,'🧱 Plan comptable source'!A:E,5,FALSE)))</f>
        <v/>
      </c>
    </row>
    <row r="231" spans="1:7" ht="20.25" customHeight="1" x14ac:dyDescent="0.25">
      <c r="A231" s="27"/>
      <c r="B231" s="27"/>
      <c r="C231" s="28"/>
      <c r="D231" s="28"/>
      <c r="F231" t="str">
        <f>IF(A231="","",(VLOOKUP(A231,'🧱 Plan comptable source'!A:E,4,FALSE)))</f>
        <v/>
      </c>
      <c r="G231" t="str">
        <f>IF(A231="","",(VLOOKUP(A231,'🧱 Plan comptable source'!A:E,5,FALSE)))</f>
        <v/>
      </c>
    </row>
    <row r="232" spans="1:7" ht="20.25" customHeight="1" x14ac:dyDescent="0.25">
      <c r="A232" s="27"/>
      <c r="B232" s="27"/>
      <c r="C232" s="28"/>
      <c r="D232" s="28"/>
      <c r="F232" t="str">
        <f>IF(A232="","",(VLOOKUP(A232,'🧱 Plan comptable source'!A:E,4,FALSE)))</f>
        <v/>
      </c>
      <c r="G232" t="str">
        <f>IF(A232="","",(VLOOKUP(A232,'🧱 Plan comptable source'!A:E,5,FALSE)))</f>
        <v/>
      </c>
    </row>
    <row r="233" spans="1:7" ht="20.25" customHeight="1" x14ac:dyDescent="0.25">
      <c r="A233" s="27"/>
      <c r="B233" s="27"/>
      <c r="C233" s="28"/>
      <c r="D233" s="28"/>
      <c r="F233" t="str">
        <f>IF(A233="","",(VLOOKUP(A233,'🧱 Plan comptable source'!A:E,4,FALSE)))</f>
        <v/>
      </c>
      <c r="G233" t="str">
        <f>IF(A233="","",(VLOOKUP(A233,'🧱 Plan comptable source'!A:E,5,FALSE)))</f>
        <v/>
      </c>
    </row>
    <row r="234" spans="1:7" ht="20.25" customHeight="1" x14ac:dyDescent="0.25">
      <c r="A234" s="27"/>
      <c r="B234" s="27"/>
      <c r="C234" s="28"/>
      <c r="D234" s="28"/>
      <c r="F234" t="str">
        <f>IF(A234="","",(VLOOKUP(A234,'🧱 Plan comptable source'!A:E,4,FALSE)))</f>
        <v/>
      </c>
      <c r="G234" t="str">
        <f>IF(A234="","",(VLOOKUP(A234,'🧱 Plan comptable source'!A:E,5,FALSE)))</f>
        <v/>
      </c>
    </row>
    <row r="235" spans="1:7" ht="20.25" customHeight="1" x14ac:dyDescent="0.25">
      <c r="A235" s="27"/>
      <c r="B235" s="27"/>
      <c r="C235" s="28"/>
      <c r="D235" s="28"/>
      <c r="F235" t="str">
        <f>IF(A235="","",(VLOOKUP(A235,'🧱 Plan comptable source'!A:E,4,FALSE)))</f>
        <v/>
      </c>
      <c r="G235" t="str">
        <f>IF(A235="","",(VLOOKUP(A235,'🧱 Plan comptable source'!A:E,5,FALSE)))</f>
        <v/>
      </c>
    </row>
    <row r="236" spans="1:7" ht="20.25" customHeight="1" x14ac:dyDescent="0.25">
      <c r="A236" s="27"/>
      <c r="B236" s="27"/>
      <c r="C236" s="28"/>
      <c r="D236" s="28"/>
      <c r="F236" t="str">
        <f>IF(A236="","",(VLOOKUP(A236,'🧱 Plan comptable source'!A:E,4,FALSE)))</f>
        <v/>
      </c>
      <c r="G236" t="str">
        <f>IF(A236="","",(VLOOKUP(A236,'🧱 Plan comptable source'!A:E,5,FALSE)))</f>
        <v/>
      </c>
    </row>
    <row r="237" spans="1:7" ht="20.25" customHeight="1" x14ac:dyDescent="0.25">
      <c r="A237" s="27"/>
      <c r="B237" s="27"/>
      <c r="C237" s="28"/>
      <c r="D237" s="28"/>
      <c r="F237" t="str">
        <f>IF(A237="","",(VLOOKUP(A237,'🧱 Plan comptable source'!A:E,4,FALSE)))</f>
        <v/>
      </c>
      <c r="G237" t="str">
        <f>IF(A237="","",(VLOOKUP(A237,'🧱 Plan comptable source'!A:E,5,FALSE)))</f>
        <v/>
      </c>
    </row>
    <row r="238" spans="1:7" ht="20.25" customHeight="1" x14ac:dyDescent="0.25">
      <c r="A238" s="27"/>
      <c r="B238" s="27"/>
      <c r="C238" s="28"/>
      <c r="D238" s="28"/>
      <c r="F238" t="str">
        <f>IF(A238="","",(VLOOKUP(A238,'🧱 Plan comptable source'!A:E,4,FALSE)))</f>
        <v/>
      </c>
      <c r="G238" t="str">
        <f>IF(A238="","",(VLOOKUP(A238,'🧱 Plan comptable source'!A:E,5,FALSE)))</f>
        <v/>
      </c>
    </row>
    <row r="239" spans="1:7" ht="20.25" customHeight="1" x14ac:dyDescent="0.25">
      <c r="A239" s="27"/>
      <c r="B239" s="27"/>
      <c r="C239" s="28"/>
      <c r="D239" s="28"/>
      <c r="F239" t="str">
        <f>IF(A239="","",(VLOOKUP(A239,'🧱 Plan comptable source'!A:E,4,FALSE)))</f>
        <v/>
      </c>
      <c r="G239" t="str">
        <f>IF(A239="","",(VLOOKUP(A239,'🧱 Plan comptable source'!A:E,5,FALSE)))</f>
        <v/>
      </c>
    </row>
    <row r="240" spans="1:7" ht="20.25" customHeight="1" x14ac:dyDescent="0.25">
      <c r="A240" s="27"/>
      <c r="B240" s="27"/>
      <c r="C240" s="28"/>
      <c r="D240" s="28"/>
      <c r="F240" t="str">
        <f>IF(A240="","",(VLOOKUP(A240,'🧱 Plan comptable source'!A:E,4,FALSE)))</f>
        <v/>
      </c>
      <c r="G240" t="str">
        <f>IF(A240="","",(VLOOKUP(A240,'🧱 Plan comptable source'!A:E,5,FALSE)))</f>
        <v/>
      </c>
    </row>
    <row r="241" spans="1:7" ht="20.25" customHeight="1" x14ac:dyDescent="0.25">
      <c r="A241" s="27"/>
      <c r="B241" s="27"/>
      <c r="C241" s="28"/>
      <c r="D241" s="28"/>
      <c r="F241" t="str">
        <f>IF(A241="","",(VLOOKUP(A241,'🧱 Plan comptable source'!A:E,4,FALSE)))</f>
        <v/>
      </c>
      <c r="G241" t="str">
        <f>IF(A241="","",(VLOOKUP(A241,'🧱 Plan comptable source'!A:E,5,FALSE)))</f>
        <v/>
      </c>
    </row>
    <row r="242" spans="1:7" ht="20.25" customHeight="1" x14ac:dyDescent="0.25">
      <c r="A242" s="27"/>
      <c r="B242" s="27"/>
      <c r="C242" s="28"/>
      <c r="D242" s="28"/>
      <c r="F242" t="str">
        <f>IF(A242="","",(VLOOKUP(A242,'🧱 Plan comptable source'!A:E,4,FALSE)))</f>
        <v/>
      </c>
      <c r="G242" t="str">
        <f>IF(A242="","",(VLOOKUP(A242,'🧱 Plan comptable source'!A:E,5,FALSE)))</f>
        <v/>
      </c>
    </row>
    <row r="243" spans="1:7" ht="20.25" customHeight="1" x14ac:dyDescent="0.25">
      <c r="A243" s="27"/>
      <c r="B243" s="27"/>
      <c r="C243" s="28"/>
      <c r="D243" s="28"/>
      <c r="F243" t="str">
        <f>IF(A243="","",(VLOOKUP(A243,'🧱 Plan comptable source'!A:E,4,FALSE)))</f>
        <v/>
      </c>
      <c r="G243" t="str">
        <f>IF(A243="","",(VLOOKUP(A243,'🧱 Plan comptable source'!A:E,5,FALSE)))</f>
        <v/>
      </c>
    </row>
    <row r="244" spans="1:7" ht="20.25" customHeight="1" x14ac:dyDescent="0.25">
      <c r="A244" s="27"/>
      <c r="B244" s="27"/>
      <c r="C244" s="28"/>
      <c r="D244" s="28"/>
      <c r="F244" t="str">
        <f>IF(A244="","",(VLOOKUP(A244,'🧱 Plan comptable source'!A:E,4,FALSE)))</f>
        <v/>
      </c>
      <c r="G244" t="str">
        <f>IF(A244="","",(VLOOKUP(A244,'🧱 Plan comptable source'!A:E,5,FALSE)))</f>
        <v/>
      </c>
    </row>
    <row r="245" spans="1:7" ht="20.25" customHeight="1" x14ac:dyDescent="0.25">
      <c r="A245" s="27"/>
      <c r="B245" s="27"/>
      <c r="C245" s="28"/>
      <c r="D245" s="28"/>
      <c r="F245" t="str">
        <f>IF(A245="","",(VLOOKUP(A245,'🧱 Plan comptable source'!A:E,4,FALSE)))</f>
        <v/>
      </c>
      <c r="G245" t="str">
        <f>IF(A245="","",(VLOOKUP(A245,'🧱 Plan comptable source'!A:E,5,FALSE)))</f>
        <v/>
      </c>
    </row>
    <row r="246" spans="1:7" ht="20.25" customHeight="1" x14ac:dyDescent="0.25">
      <c r="A246" s="27"/>
      <c r="B246" s="27"/>
      <c r="C246" s="28"/>
      <c r="D246" s="28"/>
      <c r="F246" t="str">
        <f>IF(A246="","",(VLOOKUP(A246,'🧱 Plan comptable source'!A:E,4,FALSE)))</f>
        <v/>
      </c>
      <c r="G246" t="str">
        <f>IF(A246="","",(VLOOKUP(A246,'🧱 Plan comptable source'!A:E,5,FALSE)))</f>
        <v/>
      </c>
    </row>
    <row r="247" spans="1:7" ht="20.25" customHeight="1" x14ac:dyDescent="0.25">
      <c r="A247" s="27"/>
      <c r="B247" s="27"/>
      <c r="C247" s="28"/>
      <c r="D247" s="28"/>
      <c r="F247" t="str">
        <f>IF(A247="","",(VLOOKUP(A247,'🧱 Plan comptable source'!A:E,4,FALSE)))</f>
        <v/>
      </c>
      <c r="G247" t="str">
        <f>IF(A247="","",(VLOOKUP(A247,'🧱 Plan comptable source'!A:E,5,FALSE)))</f>
        <v/>
      </c>
    </row>
    <row r="248" spans="1:7" ht="20.25" customHeight="1" x14ac:dyDescent="0.25">
      <c r="A248" s="27"/>
      <c r="B248" s="27"/>
      <c r="C248" s="28"/>
      <c r="D248" s="28"/>
      <c r="F248" t="str">
        <f>IF(A248="","",(VLOOKUP(A248,'🧱 Plan comptable source'!A:E,4,FALSE)))</f>
        <v/>
      </c>
      <c r="G248" t="str">
        <f>IF(A248="","",(VLOOKUP(A248,'🧱 Plan comptable source'!A:E,5,FALSE)))</f>
        <v/>
      </c>
    </row>
    <row r="249" spans="1:7" ht="20.25" customHeight="1" x14ac:dyDescent="0.25">
      <c r="A249" s="27"/>
      <c r="B249" s="27"/>
      <c r="C249" s="28"/>
      <c r="D249" s="28"/>
      <c r="F249" t="str">
        <f>IF(A249="","",(VLOOKUP(A249,'🧱 Plan comptable source'!A:E,4,FALSE)))</f>
        <v/>
      </c>
      <c r="G249" t="str">
        <f>IF(A249="","",(VLOOKUP(A249,'🧱 Plan comptable source'!A:E,5,FALSE)))</f>
        <v/>
      </c>
    </row>
    <row r="250" spans="1:7" ht="20.25" customHeight="1" x14ac:dyDescent="0.25">
      <c r="A250" s="27"/>
      <c r="B250" s="27"/>
      <c r="C250" s="28"/>
      <c r="D250" s="28"/>
      <c r="F250" t="str">
        <f>IF(A250="","",(VLOOKUP(A250,'🧱 Plan comptable source'!A:E,4,FALSE)))</f>
        <v/>
      </c>
      <c r="G250" t="str">
        <f>IF(A250="","",(VLOOKUP(A250,'🧱 Plan comptable source'!A:E,5,FALSE)))</f>
        <v/>
      </c>
    </row>
    <row r="251" spans="1:7" ht="20.25" customHeight="1" x14ac:dyDescent="0.25">
      <c r="A251" s="27"/>
      <c r="B251" s="27"/>
      <c r="C251" s="28"/>
      <c r="D251" s="28"/>
      <c r="F251" t="str">
        <f>IF(A251="","",(VLOOKUP(A251,'🧱 Plan comptable source'!A:E,4,FALSE)))</f>
        <v/>
      </c>
      <c r="G251" t="str">
        <f>IF(A251="","",(VLOOKUP(A251,'🧱 Plan comptable source'!A:E,5,FALSE)))</f>
        <v/>
      </c>
    </row>
    <row r="252" spans="1:7" ht="20.25" customHeight="1" x14ac:dyDescent="0.25">
      <c r="A252" s="27"/>
      <c r="B252" s="27"/>
      <c r="C252" s="28"/>
      <c r="D252" s="28"/>
      <c r="F252" t="str">
        <f>IF(A252="","",(VLOOKUP(A252,'🧱 Plan comptable source'!A:E,4,FALSE)))</f>
        <v/>
      </c>
      <c r="G252" t="str">
        <f>IF(A252="","",(VLOOKUP(A252,'🧱 Plan comptable source'!A:E,5,FALSE)))</f>
        <v/>
      </c>
    </row>
    <row r="253" spans="1:7" ht="20.25" customHeight="1" x14ac:dyDescent="0.25">
      <c r="A253" s="27"/>
      <c r="B253" s="27"/>
      <c r="C253" s="28"/>
      <c r="D253" s="28"/>
      <c r="F253" t="str">
        <f>IF(A253="","",(VLOOKUP(A253,'🧱 Plan comptable source'!A:E,4,FALSE)))</f>
        <v/>
      </c>
      <c r="G253" t="str">
        <f>IF(A253="","",(VLOOKUP(A253,'🧱 Plan comptable source'!A:E,5,FALSE)))</f>
        <v/>
      </c>
    </row>
    <row r="254" spans="1:7" ht="20.25" customHeight="1" x14ac:dyDescent="0.25">
      <c r="A254" s="27"/>
      <c r="B254" s="27"/>
      <c r="C254" s="28"/>
      <c r="D254" s="28"/>
      <c r="F254" t="str">
        <f>IF(A254="","",(VLOOKUP(A254,'🧱 Plan comptable source'!A:E,4,FALSE)))</f>
        <v/>
      </c>
      <c r="G254" t="str">
        <f>IF(A254="","",(VLOOKUP(A254,'🧱 Plan comptable source'!A:E,5,FALSE)))</f>
        <v/>
      </c>
    </row>
    <row r="255" spans="1:7" ht="20.25" customHeight="1" x14ac:dyDescent="0.25">
      <c r="A255" s="27"/>
      <c r="B255" s="27"/>
      <c r="C255" s="28"/>
      <c r="D255" s="28"/>
      <c r="F255" t="str">
        <f>IF(A255="","",(VLOOKUP(A255,'🧱 Plan comptable source'!A:E,4,FALSE)))</f>
        <v/>
      </c>
      <c r="G255" t="str">
        <f>IF(A255="","",(VLOOKUP(A255,'🧱 Plan comptable source'!A:E,5,FALSE)))</f>
        <v/>
      </c>
    </row>
    <row r="256" spans="1:7" ht="20.25" customHeight="1" x14ac:dyDescent="0.25">
      <c r="A256" s="27"/>
      <c r="B256" s="27"/>
      <c r="C256" s="28"/>
      <c r="D256" s="28"/>
      <c r="F256" t="str">
        <f>IF(A256="","",(VLOOKUP(A256,'🧱 Plan comptable source'!A:E,4,FALSE)))</f>
        <v/>
      </c>
      <c r="G256" t="str">
        <f>IF(A256="","",(VLOOKUP(A256,'🧱 Plan comptable source'!A:E,5,FALSE)))</f>
        <v/>
      </c>
    </row>
    <row r="257" spans="1:7" ht="20.25" customHeight="1" x14ac:dyDescent="0.25">
      <c r="A257" s="27"/>
      <c r="B257" s="27"/>
      <c r="C257" s="28"/>
      <c r="D257" s="28"/>
      <c r="F257" t="str">
        <f>IF(A257="","",(VLOOKUP(A257,'🧱 Plan comptable source'!A:E,4,FALSE)))</f>
        <v/>
      </c>
      <c r="G257" t="str">
        <f>IF(A257="","",(VLOOKUP(A257,'🧱 Plan comptable source'!A:E,5,FALSE)))</f>
        <v/>
      </c>
    </row>
    <row r="258" spans="1:7" ht="20.25" customHeight="1" x14ac:dyDescent="0.25">
      <c r="A258" s="27"/>
      <c r="B258" s="27"/>
      <c r="C258" s="28"/>
      <c r="D258" s="28"/>
      <c r="F258" t="str">
        <f>IF(A258="","",(VLOOKUP(A258,'🧱 Plan comptable source'!A:E,4,FALSE)))</f>
        <v/>
      </c>
      <c r="G258" t="str">
        <f>IF(A258="","",(VLOOKUP(A258,'🧱 Plan comptable source'!A:E,5,FALSE)))</f>
        <v/>
      </c>
    </row>
    <row r="259" spans="1:7" ht="20.25" customHeight="1" x14ac:dyDescent="0.25">
      <c r="A259" s="27"/>
      <c r="B259" s="27"/>
      <c r="C259" s="28"/>
      <c r="D259" s="28"/>
      <c r="F259" t="str">
        <f>IF(A259="","",(VLOOKUP(A259,'🧱 Plan comptable source'!A:E,4,FALSE)))</f>
        <v/>
      </c>
      <c r="G259" t="str">
        <f>IF(A259="","",(VLOOKUP(A259,'🧱 Plan comptable source'!A:E,5,FALSE)))</f>
        <v/>
      </c>
    </row>
    <row r="260" spans="1:7" ht="20.25" customHeight="1" x14ac:dyDescent="0.25">
      <c r="A260" s="27"/>
      <c r="B260" s="27"/>
      <c r="C260" s="28"/>
      <c r="D260" s="28"/>
      <c r="F260" t="str">
        <f>IF(A260="","",(VLOOKUP(A260,'🧱 Plan comptable source'!A:E,4,FALSE)))</f>
        <v/>
      </c>
      <c r="G260" t="str">
        <f>IF(A260="","",(VLOOKUP(A260,'🧱 Plan comptable source'!A:E,5,FALSE)))</f>
        <v/>
      </c>
    </row>
    <row r="261" spans="1:7" ht="20.25" customHeight="1" x14ac:dyDescent="0.25">
      <c r="A261" s="27"/>
      <c r="B261" s="27"/>
      <c r="C261" s="28"/>
      <c r="D261" s="28"/>
      <c r="F261" t="str">
        <f>IF(A261="","",(VLOOKUP(A261,'🧱 Plan comptable source'!A:E,4,FALSE)))</f>
        <v/>
      </c>
      <c r="G261" t="str">
        <f>IF(A261="","",(VLOOKUP(A261,'🧱 Plan comptable source'!A:E,5,FALSE)))</f>
        <v/>
      </c>
    </row>
    <row r="262" spans="1:7" ht="20.25" customHeight="1" x14ac:dyDescent="0.25">
      <c r="A262" s="27"/>
      <c r="B262" s="27"/>
      <c r="C262" s="28"/>
      <c r="D262" s="28"/>
      <c r="F262" t="str">
        <f>IF(A262="","",(VLOOKUP(A262,'🧱 Plan comptable source'!A:E,4,FALSE)))</f>
        <v/>
      </c>
      <c r="G262" t="str">
        <f>IF(A262="","",(VLOOKUP(A262,'🧱 Plan comptable source'!A:E,5,FALSE)))</f>
        <v/>
      </c>
    </row>
    <row r="263" spans="1:7" ht="20.25" customHeight="1" x14ac:dyDescent="0.25">
      <c r="A263" s="27"/>
      <c r="B263" s="27"/>
      <c r="C263" s="28"/>
      <c r="D263" s="28"/>
      <c r="F263" t="str">
        <f>IF(A263="","",(VLOOKUP(A263,'🧱 Plan comptable source'!A:E,4,FALSE)))</f>
        <v/>
      </c>
      <c r="G263" t="str">
        <f>IF(A263="","",(VLOOKUP(A263,'🧱 Plan comptable source'!A:E,5,FALSE)))</f>
        <v/>
      </c>
    </row>
    <row r="264" spans="1:7" ht="20.25" customHeight="1" x14ac:dyDescent="0.25">
      <c r="A264" s="27"/>
      <c r="B264" s="27"/>
      <c r="C264" s="28"/>
      <c r="D264" s="28"/>
      <c r="F264" t="str">
        <f>IF(A264="","",(VLOOKUP(A264,'🧱 Plan comptable source'!A:E,4,FALSE)))</f>
        <v/>
      </c>
      <c r="G264" t="str">
        <f>IF(A264="","",(VLOOKUP(A264,'🧱 Plan comptable source'!A:E,5,FALSE)))</f>
        <v/>
      </c>
    </row>
    <row r="265" spans="1:7" ht="20.25" customHeight="1" x14ac:dyDescent="0.25">
      <c r="A265" s="27"/>
      <c r="B265" s="27"/>
      <c r="C265" s="28"/>
      <c r="D265" s="28"/>
      <c r="F265" t="str">
        <f>IF(A265="","",(VLOOKUP(A265,'🧱 Plan comptable source'!A:E,4,FALSE)))</f>
        <v/>
      </c>
      <c r="G265" t="str">
        <f>IF(A265="","",(VLOOKUP(A265,'🧱 Plan comptable source'!A:E,5,FALSE)))</f>
        <v/>
      </c>
    </row>
    <row r="266" spans="1:7" ht="20.25" customHeight="1" x14ac:dyDescent="0.25">
      <c r="A266" s="27"/>
      <c r="B266" s="27"/>
      <c r="C266" s="28"/>
      <c r="D266" s="28"/>
      <c r="F266" t="str">
        <f>IF(A266="","",(VLOOKUP(A266,'🧱 Plan comptable source'!A:E,4,FALSE)))</f>
        <v/>
      </c>
      <c r="G266" t="str">
        <f>IF(A266="","",(VLOOKUP(A266,'🧱 Plan comptable source'!A:E,5,FALSE)))</f>
        <v/>
      </c>
    </row>
    <row r="267" spans="1:7" ht="20.25" customHeight="1" x14ac:dyDescent="0.25">
      <c r="A267" s="27"/>
      <c r="B267" s="27"/>
      <c r="C267" s="28"/>
      <c r="D267" s="28"/>
      <c r="F267" t="str">
        <f>IF(A267="","",(VLOOKUP(A267,'🧱 Plan comptable source'!A:E,4,FALSE)))</f>
        <v/>
      </c>
      <c r="G267" t="str">
        <f>IF(A267="","",(VLOOKUP(A267,'🧱 Plan comptable source'!A:E,5,FALSE)))</f>
        <v/>
      </c>
    </row>
    <row r="268" spans="1:7" ht="20.25" customHeight="1" x14ac:dyDescent="0.25">
      <c r="A268" s="27"/>
      <c r="B268" s="27"/>
      <c r="C268" s="28"/>
      <c r="D268" s="28"/>
      <c r="F268" t="str">
        <f>IF(A268="","",(VLOOKUP(A268,'🧱 Plan comptable source'!A:E,4,FALSE)))</f>
        <v/>
      </c>
      <c r="G268" t="str">
        <f>IF(A268="","",(VLOOKUP(A268,'🧱 Plan comptable source'!A:E,5,FALSE)))</f>
        <v/>
      </c>
    </row>
    <row r="269" spans="1:7" ht="20.25" customHeight="1" x14ac:dyDescent="0.25">
      <c r="A269" s="27"/>
      <c r="B269" s="27"/>
      <c r="C269" s="28"/>
      <c r="D269" s="28"/>
      <c r="F269" t="str">
        <f>IF(A269="","",(VLOOKUP(A269,'🧱 Plan comptable source'!A:E,4,FALSE)))</f>
        <v/>
      </c>
      <c r="G269" t="str">
        <f>IF(A269="","",(VLOOKUP(A269,'🧱 Plan comptable source'!A:E,5,FALSE)))</f>
        <v/>
      </c>
    </row>
    <row r="270" spans="1:7" ht="20.25" customHeight="1" x14ac:dyDescent="0.25">
      <c r="A270" s="27"/>
      <c r="B270" s="27"/>
      <c r="C270" s="28"/>
      <c r="D270" s="28"/>
      <c r="F270" t="str">
        <f>IF(A270="","",(VLOOKUP(A270,'🧱 Plan comptable source'!A:E,4,FALSE)))</f>
        <v/>
      </c>
      <c r="G270" t="str">
        <f>IF(A270="","",(VLOOKUP(A270,'🧱 Plan comptable source'!A:E,5,FALSE)))</f>
        <v/>
      </c>
    </row>
    <row r="271" spans="1:7" ht="20.25" customHeight="1" x14ac:dyDescent="0.25">
      <c r="A271" s="27"/>
      <c r="B271" s="27"/>
      <c r="C271" s="28"/>
      <c r="D271" s="28"/>
      <c r="F271" t="str">
        <f>IF(A271="","",(VLOOKUP(A271,'🧱 Plan comptable source'!A:E,4,FALSE)))</f>
        <v/>
      </c>
      <c r="G271" t="str">
        <f>IF(A271="","",(VLOOKUP(A271,'🧱 Plan comptable source'!A:E,5,FALSE)))</f>
        <v/>
      </c>
    </row>
    <row r="272" spans="1:7" ht="20.25" customHeight="1" x14ac:dyDescent="0.25">
      <c r="A272" s="27"/>
      <c r="B272" s="27"/>
      <c r="C272" s="28"/>
      <c r="D272" s="28"/>
      <c r="F272" t="str">
        <f>IF(A272="","",(VLOOKUP(A272,'🧱 Plan comptable source'!A:E,4,FALSE)))</f>
        <v/>
      </c>
      <c r="G272" t="str">
        <f>IF(A272="","",(VLOOKUP(A272,'🧱 Plan comptable source'!A:E,5,FALSE)))</f>
        <v/>
      </c>
    </row>
    <row r="273" spans="1:7" ht="20.25" customHeight="1" x14ac:dyDescent="0.25">
      <c r="A273" s="27"/>
      <c r="B273" s="27"/>
      <c r="C273" s="28"/>
      <c r="D273" s="28"/>
      <c r="F273" t="str">
        <f>IF(A273="","",(VLOOKUP(A273,'🧱 Plan comptable source'!A:E,4,FALSE)))</f>
        <v/>
      </c>
      <c r="G273" t="str">
        <f>IF(A273="","",(VLOOKUP(A273,'🧱 Plan comptable source'!A:E,5,FALSE)))</f>
        <v/>
      </c>
    </row>
    <row r="274" spans="1:7" ht="20.25" customHeight="1" x14ac:dyDescent="0.25">
      <c r="A274" s="27"/>
      <c r="B274" s="27"/>
      <c r="C274" s="28"/>
      <c r="D274" s="28"/>
      <c r="F274" t="str">
        <f>IF(A274="","",(VLOOKUP(A274,'🧱 Plan comptable source'!A:E,4,FALSE)))</f>
        <v/>
      </c>
      <c r="G274" t="str">
        <f>IF(A274="","",(VLOOKUP(A274,'🧱 Plan comptable source'!A:E,5,FALSE)))</f>
        <v/>
      </c>
    </row>
    <row r="275" spans="1:7" ht="20.25" customHeight="1" x14ac:dyDescent="0.25">
      <c r="A275" s="27"/>
      <c r="B275" s="27"/>
      <c r="C275" s="28"/>
      <c r="D275" s="28"/>
      <c r="F275" t="str">
        <f>IF(A275="","",(VLOOKUP(A275,'🧱 Plan comptable source'!A:E,4,FALSE)))</f>
        <v/>
      </c>
      <c r="G275" t="str">
        <f>IF(A275="","",(VLOOKUP(A275,'🧱 Plan comptable source'!A:E,5,FALSE)))</f>
        <v/>
      </c>
    </row>
    <row r="276" spans="1:7" ht="20.25" customHeight="1" x14ac:dyDescent="0.25">
      <c r="A276" s="27"/>
      <c r="B276" s="27"/>
      <c r="C276" s="28"/>
      <c r="D276" s="28"/>
      <c r="F276" t="str">
        <f>IF(A276="","",(VLOOKUP(A276,'🧱 Plan comptable source'!A:E,4,FALSE)))</f>
        <v/>
      </c>
      <c r="G276" t="str">
        <f>IF(A276="","",(VLOOKUP(A276,'🧱 Plan comptable source'!A:E,5,FALSE)))</f>
        <v/>
      </c>
    </row>
    <row r="277" spans="1:7" ht="20.25" customHeight="1" x14ac:dyDescent="0.25">
      <c r="A277" s="27"/>
      <c r="B277" s="27"/>
      <c r="C277" s="28"/>
      <c r="D277" s="28"/>
      <c r="F277" t="str">
        <f>IF(A277="","",(VLOOKUP(A277,'🧱 Plan comptable source'!A:E,4,FALSE)))</f>
        <v/>
      </c>
      <c r="G277" t="str">
        <f>IF(A277="","",(VLOOKUP(A277,'🧱 Plan comptable source'!A:E,5,FALSE)))</f>
        <v/>
      </c>
    </row>
    <row r="278" spans="1:7" ht="20.25" customHeight="1" x14ac:dyDescent="0.25">
      <c r="A278" s="27"/>
      <c r="B278" s="27"/>
      <c r="C278" s="28"/>
      <c r="D278" s="28"/>
      <c r="F278" t="str">
        <f>IF(A278="","",(VLOOKUP(A278,'🧱 Plan comptable source'!A:E,4,FALSE)))</f>
        <v/>
      </c>
      <c r="G278" t="str">
        <f>IF(A278="","",(VLOOKUP(A278,'🧱 Plan comptable source'!A:E,5,FALSE)))</f>
        <v/>
      </c>
    </row>
    <row r="279" spans="1:7" ht="20.25" customHeight="1" x14ac:dyDescent="0.25">
      <c r="A279" s="27"/>
      <c r="B279" s="27"/>
      <c r="C279" s="28"/>
      <c r="D279" s="28"/>
      <c r="F279" t="str">
        <f>IF(A279="","",(VLOOKUP(A279,'🧱 Plan comptable source'!A:E,4,FALSE)))</f>
        <v/>
      </c>
      <c r="G279" t="str">
        <f>IF(A279="","",(VLOOKUP(A279,'🧱 Plan comptable source'!A:E,5,FALSE)))</f>
        <v/>
      </c>
    </row>
    <row r="280" spans="1:7" ht="20.25" customHeight="1" x14ac:dyDescent="0.25">
      <c r="A280" s="27"/>
      <c r="B280" s="27"/>
      <c r="C280" s="28"/>
      <c r="D280" s="28"/>
      <c r="F280" t="str">
        <f>IF(A280="","",(VLOOKUP(A280,'🧱 Plan comptable source'!A:E,4,FALSE)))</f>
        <v/>
      </c>
      <c r="G280" t="str">
        <f>IF(A280="","",(VLOOKUP(A280,'🧱 Plan comptable source'!A:E,5,FALSE)))</f>
        <v/>
      </c>
    </row>
    <row r="281" spans="1:7" ht="20.25" customHeight="1" x14ac:dyDescent="0.25">
      <c r="A281" s="27"/>
      <c r="B281" s="27"/>
      <c r="C281" s="28"/>
      <c r="D281" s="28"/>
      <c r="F281" t="str">
        <f>IF(A281="","",(VLOOKUP(A281,'🧱 Plan comptable source'!A:E,4,FALSE)))</f>
        <v/>
      </c>
      <c r="G281" t="str">
        <f>IF(A281="","",(VLOOKUP(A281,'🧱 Plan comptable source'!A:E,5,FALSE)))</f>
        <v/>
      </c>
    </row>
    <row r="282" spans="1:7" ht="20.25" customHeight="1" x14ac:dyDescent="0.25">
      <c r="A282" s="27"/>
      <c r="B282" s="27"/>
      <c r="C282" s="28"/>
      <c r="D282" s="28"/>
      <c r="F282" t="str">
        <f>IF(A282="","",(VLOOKUP(A282,'🧱 Plan comptable source'!A:E,4,FALSE)))</f>
        <v/>
      </c>
      <c r="G282" t="str">
        <f>IF(A282="","",(VLOOKUP(A282,'🧱 Plan comptable source'!A:E,5,FALSE)))</f>
        <v/>
      </c>
    </row>
    <row r="283" spans="1:7" ht="20.25" customHeight="1" x14ac:dyDescent="0.25">
      <c r="A283" s="27"/>
      <c r="B283" s="27"/>
      <c r="C283" s="28"/>
      <c r="D283" s="28"/>
      <c r="F283" t="str">
        <f>IF(A283="","",(VLOOKUP(A283,'🧱 Plan comptable source'!A:E,4,FALSE)))</f>
        <v/>
      </c>
      <c r="G283" t="str">
        <f>IF(A283="","",(VLOOKUP(A283,'🧱 Plan comptable source'!A:E,5,FALSE)))</f>
        <v/>
      </c>
    </row>
    <row r="284" spans="1:7" ht="20.25" customHeight="1" x14ac:dyDescent="0.25">
      <c r="A284" s="27"/>
      <c r="B284" s="27"/>
      <c r="C284" s="28"/>
      <c r="D284" s="28"/>
      <c r="F284" t="str">
        <f>IF(A284="","",(VLOOKUP(A284,'🧱 Plan comptable source'!A:E,4,FALSE)))</f>
        <v/>
      </c>
      <c r="G284" t="str">
        <f>IF(A284="","",(VLOOKUP(A284,'🧱 Plan comptable source'!A:E,5,FALSE)))</f>
        <v/>
      </c>
    </row>
    <row r="285" spans="1:7" ht="20.25" customHeight="1" x14ac:dyDescent="0.25">
      <c r="A285" s="27"/>
      <c r="B285" s="27"/>
      <c r="C285" s="28"/>
      <c r="D285" s="28"/>
      <c r="F285" t="str">
        <f>IF(A285="","",(VLOOKUP(A285,'🧱 Plan comptable source'!A:E,4,FALSE)))</f>
        <v/>
      </c>
      <c r="G285" t="str">
        <f>IF(A285="","",(VLOOKUP(A285,'🧱 Plan comptable source'!A:E,5,FALSE)))</f>
        <v/>
      </c>
    </row>
    <row r="286" spans="1:7" ht="20.25" customHeight="1" x14ac:dyDescent="0.25">
      <c r="A286" s="27"/>
      <c r="B286" s="27"/>
      <c r="C286" s="28"/>
      <c r="D286" s="28"/>
      <c r="F286" t="str">
        <f>IF(A286="","",(VLOOKUP(A286,'🧱 Plan comptable source'!A:E,4,FALSE)))</f>
        <v/>
      </c>
      <c r="G286" t="str">
        <f>IF(A286="","",(VLOOKUP(A286,'🧱 Plan comptable source'!A:E,5,FALSE)))</f>
        <v/>
      </c>
    </row>
    <row r="287" spans="1:7" ht="20.25" customHeight="1" x14ac:dyDescent="0.25">
      <c r="A287" s="27"/>
      <c r="B287" s="27"/>
      <c r="C287" s="28"/>
      <c r="D287" s="28"/>
      <c r="F287" t="str">
        <f>IF(A287="","",(VLOOKUP(A287,'🧱 Plan comptable source'!A:E,4,FALSE)))</f>
        <v/>
      </c>
      <c r="G287" t="str">
        <f>IF(A287="","",(VLOOKUP(A287,'🧱 Plan comptable source'!A:E,5,FALSE)))</f>
        <v/>
      </c>
    </row>
    <row r="288" spans="1:7" ht="20.25" customHeight="1" x14ac:dyDescent="0.25">
      <c r="A288" s="27"/>
      <c r="B288" s="27"/>
      <c r="C288" s="28"/>
      <c r="D288" s="28"/>
      <c r="F288" t="str">
        <f>IF(A288="","",(VLOOKUP(A288,'🧱 Plan comptable source'!A:E,4,FALSE)))</f>
        <v/>
      </c>
      <c r="G288" t="str">
        <f>IF(A288="","",(VLOOKUP(A288,'🧱 Plan comptable source'!A:E,5,FALSE)))</f>
        <v/>
      </c>
    </row>
    <row r="289" spans="1:7" ht="20.25" customHeight="1" x14ac:dyDescent="0.25">
      <c r="A289" s="27"/>
      <c r="B289" s="27"/>
      <c r="C289" s="28"/>
      <c r="D289" s="28"/>
      <c r="F289" t="str">
        <f>IF(A289="","",(VLOOKUP(A289,'🧱 Plan comptable source'!A:E,4,FALSE)))</f>
        <v/>
      </c>
      <c r="G289" t="str">
        <f>IF(A289="","",(VLOOKUP(A289,'🧱 Plan comptable source'!A:E,5,FALSE)))</f>
        <v/>
      </c>
    </row>
    <row r="290" spans="1:7" ht="20.25" customHeight="1" x14ac:dyDescent="0.25">
      <c r="A290" s="27"/>
      <c r="B290" s="27"/>
      <c r="C290" s="28"/>
      <c r="D290" s="28"/>
      <c r="F290" t="str">
        <f>IF(A290="","",(VLOOKUP(A290,'🧱 Plan comptable source'!A:E,4,FALSE)))</f>
        <v/>
      </c>
      <c r="G290" t="str">
        <f>IF(A290="","",(VLOOKUP(A290,'🧱 Plan comptable source'!A:E,5,FALSE)))</f>
        <v/>
      </c>
    </row>
    <row r="291" spans="1:7" ht="20.25" customHeight="1" x14ac:dyDescent="0.25">
      <c r="A291" s="27"/>
      <c r="B291" s="27"/>
      <c r="C291" s="28"/>
      <c r="D291" s="28"/>
      <c r="F291" t="str">
        <f>IF(A291="","",(VLOOKUP(A291,'🧱 Plan comptable source'!A:E,4,FALSE)))</f>
        <v/>
      </c>
      <c r="G291" t="str">
        <f>IF(A291="","",(VLOOKUP(A291,'🧱 Plan comptable source'!A:E,5,FALSE)))</f>
        <v/>
      </c>
    </row>
    <row r="292" spans="1:7" ht="20.25" customHeight="1" x14ac:dyDescent="0.25">
      <c r="A292" s="27"/>
      <c r="B292" s="27"/>
      <c r="C292" s="28"/>
      <c r="D292" s="28"/>
      <c r="F292" t="str">
        <f>IF(A292="","",(VLOOKUP(A292,'🧱 Plan comptable source'!A:E,4,FALSE)))</f>
        <v/>
      </c>
      <c r="G292" t="str">
        <f>IF(A292="","",(VLOOKUP(A292,'🧱 Plan comptable source'!A:E,5,FALSE)))</f>
        <v/>
      </c>
    </row>
    <row r="293" spans="1:7" ht="20.25" customHeight="1" x14ac:dyDescent="0.25">
      <c r="A293" s="27"/>
      <c r="B293" s="27"/>
      <c r="C293" s="28"/>
      <c r="D293" s="28"/>
      <c r="F293" t="str">
        <f>IF(A293="","",(VLOOKUP(A293,'🧱 Plan comptable source'!A:E,4,FALSE)))</f>
        <v/>
      </c>
      <c r="G293" t="str">
        <f>IF(A293="","",(VLOOKUP(A293,'🧱 Plan comptable source'!A:E,5,FALSE)))</f>
        <v/>
      </c>
    </row>
    <row r="294" spans="1:7" ht="20.25" customHeight="1" x14ac:dyDescent="0.25">
      <c r="A294" s="27"/>
      <c r="B294" s="27"/>
      <c r="C294" s="28"/>
      <c r="D294" s="28"/>
      <c r="F294" t="str">
        <f>IF(A294="","",(VLOOKUP(A294,'🧱 Plan comptable source'!A:E,4,FALSE)))</f>
        <v/>
      </c>
      <c r="G294" t="str">
        <f>IF(A294="","",(VLOOKUP(A294,'🧱 Plan comptable source'!A:E,5,FALSE)))</f>
        <v/>
      </c>
    </row>
    <row r="295" spans="1:7" ht="20.25" customHeight="1" x14ac:dyDescent="0.25">
      <c r="A295" s="27"/>
      <c r="B295" s="27"/>
      <c r="C295" s="28"/>
      <c r="D295" s="28"/>
      <c r="F295" t="str">
        <f>IF(A295="","",(VLOOKUP(A295,'🧱 Plan comptable source'!A:E,4,FALSE)))</f>
        <v/>
      </c>
      <c r="G295" t="str">
        <f>IF(A295="","",(VLOOKUP(A295,'🧱 Plan comptable source'!A:E,5,FALSE)))</f>
        <v/>
      </c>
    </row>
    <row r="296" spans="1:7" ht="20.25" customHeight="1" x14ac:dyDescent="0.25">
      <c r="A296" s="27"/>
      <c r="B296" s="27"/>
      <c r="C296" s="28"/>
      <c r="D296" s="28"/>
      <c r="F296" t="str">
        <f>IF(A296="","",(VLOOKUP(A296,'🧱 Plan comptable source'!A:E,4,FALSE)))</f>
        <v/>
      </c>
      <c r="G296" t="str">
        <f>IF(A296="","",(VLOOKUP(A296,'🧱 Plan comptable source'!A:E,5,FALSE)))</f>
        <v/>
      </c>
    </row>
    <row r="297" spans="1:7" ht="20.25" customHeight="1" x14ac:dyDescent="0.25">
      <c r="A297" s="27"/>
      <c r="B297" s="27"/>
      <c r="C297" s="28"/>
      <c r="D297" s="28"/>
      <c r="F297" t="str">
        <f>IF(A297="","",(VLOOKUP(A297,'🧱 Plan comptable source'!A:E,4,FALSE)))</f>
        <v/>
      </c>
      <c r="G297" t="str">
        <f>IF(A297="","",(VLOOKUP(A297,'🧱 Plan comptable source'!A:E,5,FALSE)))</f>
        <v/>
      </c>
    </row>
    <row r="298" spans="1:7" ht="20.25" customHeight="1" x14ac:dyDescent="0.25">
      <c r="A298" s="27"/>
      <c r="B298" s="27"/>
      <c r="C298" s="28"/>
      <c r="D298" s="28"/>
      <c r="F298" t="str">
        <f>IF(A298="","",(VLOOKUP(A298,'🧱 Plan comptable source'!A:E,4,FALSE)))</f>
        <v/>
      </c>
      <c r="G298" t="str">
        <f>IF(A298="","",(VLOOKUP(A298,'🧱 Plan comptable source'!A:E,5,FALSE)))</f>
        <v/>
      </c>
    </row>
    <row r="299" spans="1:7" ht="20.25" customHeight="1" x14ac:dyDescent="0.25">
      <c r="A299" s="27"/>
      <c r="B299" s="27"/>
      <c r="C299" s="28"/>
      <c r="D299" s="28"/>
      <c r="F299" t="str">
        <f>IF(A299="","",(VLOOKUP(A299,'🧱 Plan comptable source'!A:E,4,FALSE)))</f>
        <v/>
      </c>
      <c r="G299" t="str">
        <f>IF(A299="","",(VLOOKUP(A299,'🧱 Plan comptable source'!A:E,5,FALSE)))</f>
        <v/>
      </c>
    </row>
    <row r="300" spans="1:7" ht="20.25" customHeight="1" x14ac:dyDescent="0.25">
      <c r="A300" s="27"/>
      <c r="B300" s="27"/>
      <c r="C300" s="28"/>
      <c r="D300" s="28"/>
      <c r="F300" t="str">
        <f>IF(A300="","",(VLOOKUP(A300,'🧱 Plan comptable source'!A:E,4,FALSE)))</f>
        <v/>
      </c>
      <c r="G300" t="str">
        <f>IF(A300="","",(VLOOKUP(A300,'🧱 Plan comptable source'!A:E,5,FALSE)))</f>
        <v/>
      </c>
    </row>
    <row r="301" spans="1:7" ht="20.25" customHeight="1" x14ac:dyDescent="0.25">
      <c r="A301" s="27"/>
      <c r="B301" s="27"/>
      <c r="C301" s="28"/>
      <c r="D301" s="28"/>
      <c r="F301" t="str">
        <f>IF(A301="","",(VLOOKUP(A301,'🧱 Plan comptable source'!A:E,4,FALSE)))</f>
        <v/>
      </c>
      <c r="G301" t="str">
        <f>IF(A301="","",(VLOOKUP(A301,'🧱 Plan comptable source'!A:E,5,FALSE)))</f>
        <v/>
      </c>
    </row>
    <row r="302" spans="1:7" ht="20.25" customHeight="1" x14ac:dyDescent="0.25">
      <c r="A302" s="27"/>
      <c r="B302" s="27"/>
      <c r="C302" s="28"/>
      <c r="D302" s="28"/>
      <c r="F302" t="str">
        <f>IF(A302="","",(VLOOKUP(A302,'🧱 Plan comptable source'!A:E,4,FALSE)))</f>
        <v/>
      </c>
      <c r="G302" t="str">
        <f>IF(A302="","",(VLOOKUP(A302,'🧱 Plan comptable source'!A:E,5,FALSE)))</f>
        <v/>
      </c>
    </row>
    <row r="303" spans="1:7" ht="20.25" customHeight="1" x14ac:dyDescent="0.25">
      <c r="A303" s="27"/>
      <c r="B303" s="27"/>
      <c r="C303" s="28"/>
      <c r="D303" s="28"/>
      <c r="F303" t="str">
        <f>IF(A303="","",(VLOOKUP(A303,'🧱 Plan comptable source'!A:E,4,FALSE)))</f>
        <v/>
      </c>
      <c r="G303" t="str">
        <f>IF(A303="","",(VLOOKUP(A303,'🧱 Plan comptable source'!A:E,5,FALSE)))</f>
        <v/>
      </c>
    </row>
    <row r="304" spans="1:7" ht="20.25" customHeight="1" x14ac:dyDescent="0.25">
      <c r="A304" s="27"/>
      <c r="B304" s="27"/>
      <c r="C304" s="28"/>
      <c r="D304" s="28"/>
      <c r="F304" t="str">
        <f>IF(A304="","",(VLOOKUP(A304,'🧱 Plan comptable source'!A:E,4,FALSE)))</f>
        <v/>
      </c>
      <c r="G304" t="str">
        <f>IF(A304="","",(VLOOKUP(A304,'🧱 Plan comptable source'!A:E,5,FALSE)))</f>
        <v/>
      </c>
    </row>
    <row r="305" spans="1:7" ht="20.25" customHeight="1" x14ac:dyDescent="0.25">
      <c r="A305" s="27"/>
      <c r="B305" s="27"/>
      <c r="C305" s="28"/>
      <c r="D305" s="28"/>
      <c r="F305" t="str">
        <f>IF(A305="","",(VLOOKUP(A305,'🧱 Plan comptable source'!A:E,4,FALSE)))</f>
        <v/>
      </c>
      <c r="G305" t="str">
        <f>IF(A305="","",(VLOOKUP(A305,'🧱 Plan comptable source'!A:E,5,FALSE)))</f>
        <v/>
      </c>
    </row>
    <row r="306" spans="1:7" ht="20.25" customHeight="1" x14ac:dyDescent="0.25">
      <c r="A306" s="27"/>
      <c r="B306" s="27"/>
      <c r="C306" s="28"/>
      <c r="D306" s="28"/>
      <c r="F306" t="str">
        <f>IF(A306="","",(VLOOKUP(A306,'🧱 Plan comptable source'!A:E,4,FALSE)))</f>
        <v/>
      </c>
      <c r="G306" t="str">
        <f>IF(A306="","",(VLOOKUP(A306,'🧱 Plan comptable source'!A:E,5,FALSE)))</f>
        <v/>
      </c>
    </row>
    <row r="307" spans="1:7" ht="20.25" customHeight="1" x14ac:dyDescent="0.25">
      <c r="A307" s="27"/>
      <c r="B307" s="27"/>
      <c r="C307" s="28"/>
      <c r="D307" s="28"/>
      <c r="F307" t="str">
        <f>IF(A307="","",(VLOOKUP(A307,'🧱 Plan comptable source'!A:E,4,FALSE)))</f>
        <v/>
      </c>
      <c r="G307" t="str">
        <f>IF(A307="","",(VLOOKUP(A307,'🧱 Plan comptable source'!A:E,5,FALSE)))</f>
        <v/>
      </c>
    </row>
    <row r="308" spans="1:7" ht="20.25" customHeight="1" x14ac:dyDescent="0.25">
      <c r="A308" s="27"/>
      <c r="B308" s="27"/>
      <c r="C308" s="28"/>
      <c r="D308" s="28"/>
      <c r="F308" t="str">
        <f>IF(A308="","",(VLOOKUP(A308,'🧱 Plan comptable source'!A:E,4,FALSE)))</f>
        <v/>
      </c>
      <c r="G308" t="str">
        <f>IF(A308="","",(VLOOKUP(A308,'🧱 Plan comptable source'!A:E,5,FALSE)))</f>
        <v/>
      </c>
    </row>
    <row r="309" spans="1:7" ht="20.25" customHeight="1" x14ac:dyDescent="0.25">
      <c r="A309" s="27"/>
      <c r="B309" s="27"/>
      <c r="C309" s="28"/>
      <c r="D309" s="28"/>
      <c r="F309" t="str">
        <f>IF(A309="","",(VLOOKUP(A309,'🧱 Plan comptable source'!A:E,4,FALSE)))</f>
        <v/>
      </c>
      <c r="G309" t="str">
        <f>IF(A309="","",(VLOOKUP(A309,'🧱 Plan comptable source'!A:E,5,FALSE)))</f>
        <v/>
      </c>
    </row>
    <row r="310" spans="1:7" ht="20.25" customHeight="1" x14ac:dyDescent="0.25">
      <c r="A310" s="27"/>
      <c r="B310" s="27"/>
      <c r="C310" s="28"/>
      <c r="D310" s="28"/>
      <c r="F310" t="str">
        <f>IF(A310="","",(VLOOKUP(A310,'🧱 Plan comptable source'!A:E,4,FALSE)))</f>
        <v/>
      </c>
      <c r="G310" t="str">
        <f>IF(A310="","",(VLOOKUP(A310,'🧱 Plan comptable source'!A:E,5,FALSE)))</f>
        <v/>
      </c>
    </row>
    <row r="311" spans="1:7" ht="20.25" customHeight="1" x14ac:dyDescent="0.25">
      <c r="A311" s="27"/>
      <c r="B311" s="27"/>
      <c r="C311" s="28"/>
      <c r="D311" s="28"/>
      <c r="F311" t="str">
        <f>IF(A311="","",(VLOOKUP(A311,'🧱 Plan comptable source'!A:E,4,FALSE)))</f>
        <v/>
      </c>
      <c r="G311" t="str">
        <f>IF(A311="","",(VLOOKUP(A311,'🧱 Plan comptable source'!A:E,5,FALSE)))</f>
        <v/>
      </c>
    </row>
    <row r="312" spans="1:7" ht="20.25" customHeight="1" x14ac:dyDescent="0.25">
      <c r="A312" s="27"/>
      <c r="B312" s="27"/>
      <c r="C312" s="28"/>
      <c r="D312" s="28"/>
      <c r="F312" t="str">
        <f>IF(A312="","",(VLOOKUP(A312,'🧱 Plan comptable source'!A:E,4,FALSE)))</f>
        <v/>
      </c>
      <c r="G312" t="str">
        <f>IF(A312="","",(VLOOKUP(A312,'🧱 Plan comptable source'!A:E,5,FALSE)))</f>
        <v/>
      </c>
    </row>
    <row r="313" spans="1:7" ht="20.25" customHeight="1" x14ac:dyDescent="0.25">
      <c r="A313" s="27"/>
      <c r="B313" s="27"/>
      <c r="C313" s="28"/>
      <c r="D313" s="28"/>
      <c r="F313" t="str">
        <f>IF(A313="","",(VLOOKUP(A313,'🧱 Plan comptable source'!A:E,4,FALSE)))</f>
        <v/>
      </c>
      <c r="G313" t="str">
        <f>IF(A313="","",(VLOOKUP(A313,'🧱 Plan comptable source'!A:E,5,FALSE)))</f>
        <v/>
      </c>
    </row>
    <row r="314" spans="1:7" ht="20.25" customHeight="1" x14ac:dyDescent="0.25">
      <c r="A314" s="27"/>
      <c r="B314" s="27"/>
      <c r="C314" s="28"/>
      <c r="D314" s="28"/>
      <c r="F314" t="str">
        <f>IF(A314="","",(VLOOKUP(A314,'🧱 Plan comptable source'!A:E,4,FALSE)))</f>
        <v/>
      </c>
      <c r="G314" t="str">
        <f>IF(A314="","",(VLOOKUP(A314,'🧱 Plan comptable source'!A:E,5,FALSE)))</f>
        <v/>
      </c>
    </row>
    <row r="315" spans="1:7" ht="20.25" customHeight="1" x14ac:dyDescent="0.25">
      <c r="A315" s="27"/>
      <c r="B315" s="27"/>
      <c r="C315" s="28"/>
      <c r="D315" s="28"/>
      <c r="F315" t="str">
        <f>IF(A315="","",(VLOOKUP(A315,'🧱 Plan comptable source'!A:E,4,FALSE)))</f>
        <v/>
      </c>
      <c r="G315" t="str">
        <f>IF(A315="","",(VLOOKUP(A315,'🧱 Plan comptable source'!A:E,5,FALSE)))</f>
        <v/>
      </c>
    </row>
    <row r="316" spans="1:7" ht="20.25" customHeight="1" x14ac:dyDescent="0.25">
      <c r="A316" s="27"/>
      <c r="B316" s="27"/>
      <c r="C316" s="28"/>
      <c r="D316" s="28"/>
      <c r="F316" t="str">
        <f>IF(A316="","",(VLOOKUP(A316,'🧱 Plan comptable source'!A:E,4,FALSE)))</f>
        <v/>
      </c>
      <c r="G316" t="str">
        <f>IF(A316="","",(VLOOKUP(A316,'🧱 Plan comptable source'!A:E,5,FALSE)))</f>
        <v/>
      </c>
    </row>
    <row r="317" spans="1:7" ht="20.25" customHeight="1" x14ac:dyDescent="0.25">
      <c r="A317" s="27"/>
      <c r="B317" s="27"/>
      <c r="C317" s="28"/>
      <c r="D317" s="28"/>
      <c r="F317" t="str">
        <f>IF(A317="","",(VLOOKUP(A317,'🧱 Plan comptable source'!A:E,4,FALSE)))</f>
        <v/>
      </c>
      <c r="G317" t="str">
        <f>IF(A317="","",(VLOOKUP(A317,'🧱 Plan comptable source'!A:E,5,FALSE)))</f>
        <v/>
      </c>
    </row>
    <row r="318" spans="1:7" ht="20.25" customHeight="1" x14ac:dyDescent="0.25">
      <c r="A318" s="27"/>
      <c r="B318" s="27"/>
      <c r="C318" s="28"/>
      <c r="D318" s="28"/>
      <c r="F318" t="str">
        <f>IF(A318="","",(VLOOKUP(A318,'🧱 Plan comptable source'!A:E,4,FALSE)))</f>
        <v/>
      </c>
      <c r="G318" t="str">
        <f>IF(A318="","",(VLOOKUP(A318,'🧱 Plan comptable source'!A:E,5,FALSE)))</f>
        <v/>
      </c>
    </row>
    <row r="319" spans="1:7" ht="20.25" customHeight="1" x14ac:dyDescent="0.25">
      <c r="A319" s="27"/>
      <c r="B319" s="27"/>
      <c r="C319" s="28"/>
      <c r="D319" s="28"/>
      <c r="F319" t="str">
        <f>IF(A319="","",(VLOOKUP(A319,'🧱 Plan comptable source'!A:E,4,FALSE)))</f>
        <v/>
      </c>
      <c r="G319" t="str">
        <f>IF(A319="","",(VLOOKUP(A319,'🧱 Plan comptable source'!A:E,5,FALSE)))</f>
        <v/>
      </c>
    </row>
    <row r="320" spans="1:7" ht="20.25" customHeight="1" x14ac:dyDescent="0.25">
      <c r="A320" s="27"/>
      <c r="B320" s="27"/>
      <c r="C320" s="28"/>
      <c r="D320" s="28"/>
      <c r="F320" t="str">
        <f>IF(A320="","",(VLOOKUP(A320,'🧱 Plan comptable source'!A:E,4,FALSE)))</f>
        <v/>
      </c>
      <c r="G320" t="str">
        <f>IF(A320="","",(VLOOKUP(A320,'🧱 Plan comptable source'!A:E,5,FALSE)))</f>
        <v/>
      </c>
    </row>
    <row r="321" spans="1:7" ht="20.25" customHeight="1" x14ac:dyDescent="0.25">
      <c r="A321" s="27"/>
      <c r="B321" s="27"/>
      <c r="C321" s="28"/>
      <c r="D321" s="28"/>
      <c r="F321" t="str">
        <f>IF(A321="","",(VLOOKUP(A321,'🧱 Plan comptable source'!A:E,4,FALSE)))</f>
        <v/>
      </c>
      <c r="G321" t="str">
        <f>IF(A321="","",(VLOOKUP(A321,'🧱 Plan comptable source'!A:E,5,FALSE)))</f>
        <v/>
      </c>
    </row>
    <row r="322" spans="1:7" ht="20.25" customHeight="1" x14ac:dyDescent="0.25">
      <c r="A322" s="27"/>
      <c r="B322" s="27"/>
      <c r="C322" s="28"/>
      <c r="D322" s="28"/>
      <c r="F322" t="str">
        <f>IF(A322="","",(VLOOKUP(A322,'🧱 Plan comptable source'!A:E,4,FALSE)))</f>
        <v/>
      </c>
      <c r="G322" t="str">
        <f>IF(A322="","",(VLOOKUP(A322,'🧱 Plan comptable source'!A:E,5,FALSE)))</f>
        <v/>
      </c>
    </row>
    <row r="323" spans="1:7" ht="20.25" customHeight="1" x14ac:dyDescent="0.25">
      <c r="A323" s="27"/>
      <c r="B323" s="27"/>
      <c r="C323" s="28"/>
      <c r="D323" s="28"/>
      <c r="F323" t="str">
        <f>IF(A323="","",(VLOOKUP(A323,'🧱 Plan comptable source'!A:E,4,FALSE)))</f>
        <v/>
      </c>
      <c r="G323" t="str">
        <f>IF(A323="","",(VLOOKUP(A323,'🧱 Plan comptable source'!A:E,5,FALSE)))</f>
        <v/>
      </c>
    </row>
    <row r="324" spans="1:7" ht="20.25" customHeight="1" x14ac:dyDescent="0.25">
      <c r="A324" s="27"/>
      <c r="B324" s="27"/>
      <c r="C324" s="28"/>
      <c r="D324" s="28"/>
      <c r="F324" t="str">
        <f>IF(A324="","",(VLOOKUP(A324,'🧱 Plan comptable source'!A:E,4,FALSE)))</f>
        <v/>
      </c>
      <c r="G324" t="str">
        <f>IF(A324="","",(VLOOKUP(A324,'🧱 Plan comptable source'!A:E,5,FALSE)))</f>
        <v/>
      </c>
    </row>
    <row r="325" spans="1:7" ht="20.25" customHeight="1" x14ac:dyDescent="0.25">
      <c r="A325" s="27"/>
      <c r="B325" s="27"/>
      <c r="C325" s="28"/>
      <c r="D325" s="28"/>
      <c r="F325" t="str">
        <f>IF(A325="","",(VLOOKUP(A325,'🧱 Plan comptable source'!A:E,4,FALSE)))</f>
        <v/>
      </c>
      <c r="G325" t="str">
        <f>IF(A325="","",(VLOOKUP(A325,'🧱 Plan comptable source'!A:E,5,FALSE)))</f>
        <v/>
      </c>
    </row>
    <row r="326" spans="1:7" ht="20.25" customHeight="1" x14ac:dyDescent="0.25">
      <c r="A326" s="27"/>
      <c r="B326" s="27"/>
      <c r="C326" s="28"/>
      <c r="D326" s="28"/>
      <c r="F326" t="str">
        <f>IF(A326="","",(VLOOKUP(A326,'🧱 Plan comptable source'!A:E,4,FALSE)))</f>
        <v/>
      </c>
      <c r="G326" t="str">
        <f>IF(A326="","",(VLOOKUP(A326,'🧱 Plan comptable source'!A:E,5,FALSE)))</f>
        <v/>
      </c>
    </row>
    <row r="327" spans="1:7" ht="20.25" customHeight="1" x14ac:dyDescent="0.25">
      <c r="A327" s="27"/>
      <c r="B327" s="27"/>
      <c r="C327" s="28"/>
      <c r="D327" s="28"/>
      <c r="F327" t="str">
        <f>IF(A327="","",(VLOOKUP(A327,'🧱 Plan comptable source'!A:E,4,FALSE)))</f>
        <v/>
      </c>
      <c r="G327" t="str">
        <f>IF(A327="","",(VLOOKUP(A327,'🧱 Plan comptable source'!A:E,5,FALSE)))</f>
        <v/>
      </c>
    </row>
    <row r="328" spans="1:7" ht="20.25" customHeight="1" x14ac:dyDescent="0.25">
      <c r="A328" s="27"/>
      <c r="B328" s="27"/>
      <c r="C328" s="28"/>
      <c r="D328" s="28"/>
      <c r="F328" t="str">
        <f>IF(A328="","",(VLOOKUP(A328,'🧱 Plan comptable source'!A:E,4,FALSE)))</f>
        <v/>
      </c>
      <c r="G328" t="str">
        <f>IF(A328="","",(VLOOKUP(A328,'🧱 Plan comptable source'!A:E,5,FALSE)))</f>
        <v/>
      </c>
    </row>
    <row r="329" spans="1:7" ht="20.25" customHeight="1" x14ac:dyDescent="0.25">
      <c r="A329" s="27"/>
      <c r="B329" s="27"/>
      <c r="C329" s="28"/>
      <c r="D329" s="28"/>
      <c r="F329" t="str">
        <f>IF(A329="","",(VLOOKUP(A329,'🧱 Plan comptable source'!A:E,4,FALSE)))</f>
        <v/>
      </c>
      <c r="G329" t="str">
        <f>IF(A329="","",(VLOOKUP(A329,'🧱 Plan comptable source'!A:E,5,FALSE)))</f>
        <v/>
      </c>
    </row>
    <row r="330" spans="1:7" ht="20.25" customHeight="1" x14ac:dyDescent="0.25">
      <c r="A330" s="27"/>
      <c r="B330" s="27"/>
      <c r="C330" s="28"/>
      <c r="D330" s="28"/>
      <c r="F330" t="str">
        <f>IF(A330="","",(VLOOKUP(A330,'🧱 Plan comptable source'!A:E,4,FALSE)))</f>
        <v/>
      </c>
      <c r="G330" t="str">
        <f>IF(A330="","",(VLOOKUP(A330,'🧱 Plan comptable source'!A:E,5,FALSE)))</f>
        <v/>
      </c>
    </row>
    <row r="331" spans="1:7" ht="20.25" customHeight="1" x14ac:dyDescent="0.25">
      <c r="A331" s="27"/>
      <c r="B331" s="27"/>
      <c r="C331" s="28"/>
      <c r="D331" s="28"/>
      <c r="F331" t="str">
        <f>IF(A331="","",(VLOOKUP(A331,'🧱 Plan comptable source'!A:E,4,FALSE)))</f>
        <v/>
      </c>
      <c r="G331" t="str">
        <f>IF(A331="","",(VLOOKUP(A331,'🧱 Plan comptable source'!A:E,5,FALSE)))</f>
        <v/>
      </c>
    </row>
    <row r="332" spans="1:7" ht="20.25" customHeight="1" x14ac:dyDescent="0.25">
      <c r="A332" s="27"/>
      <c r="B332" s="27"/>
      <c r="C332" s="28"/>
      <c r="D332" s="28"/>
      <c r="F332" t="str">
        <f>IF(A332="","",(VLOOKUP(A332,'🧱 Plan comptable source'!A:E,4,FALSE)))</f>
        <v/>
      </c>
      <c r="G332" t="str">
        <f>IF(A332="","",(VLOOKUP(A332,'🧱 Plan comptable source'!A:E,5,FALSE)))</f>
        <v/>
      </c>
    </row>
    <row r="333" spans="1:7" ht="20.25" customHeight="1" x14ac:dyDescent="0.25">
      <c r="A333" s="27"/>
      <c r="B333" s="27"/>
      <c r="C333" s="28"/>
      <c r="D333" s="28"/>
      <c r="F333" t="str">
        <f>IF(A333="","",(VLOOKUP(A333,'🧱 Plan comptable source'!A:E,4,FALSE)))</f>
        <v/>
      </c>
      <c r="G333" t="str">
        <f>IF(A333="","",(VLOOKUP(A333,'🧱 Plan comptable source'!A:E,5,FALSE)))</f>
        <v/>
      </c>
    </row>
    <row r="334" spans="1:7" ht="20.25" customHeight="1" x14ac:dyDescent="0.25">
      <c r="A334" s="27"/>
      <c r="B334" s="27"/>
      <c r="C334" s="28"/>
      <c r="D334" s="28"/>
      <c r="F334" t="str">
        <f>IF(A334="","",(VLOOKUP(A334,'🧱 Plan comptable source'!A:E,4,FALSE)))</f>
        <v/>
      </c>
      <c r="G334" t="str">
        <f>IF(A334="","",(VLOOKUP(A334,'🧱 Plan comptable source'!A:E,5,FALSE)))</f>
        <v/>
      </c>
    </row>
    <row r="335" spans="1:7" ht="20.25" customHeight="1" x14ac:dyDescent="0.25">
      <c r="A335" s="27"/>
      <c r="B335" s="27"/>
      <c r="C335" s="28"/>
      <c r="D335" s="28"/>
      <c r="F335" t="str">
        <f>IF(A335="","",(VLOOKUP(A335,'🧱 Plan comptable source'!A:E,4,FALSE)))</f>
        <v/>
      </c>
      <c r="G335" t="str">
        <f>IF(A335="","",(VLOOKUP(A335,'🧱 Plan comptable source'!A:E,5,FALSE)))</f>
        <v/>
      </c>
    </row>
    <row r="336" spans="1:7" ht="20.25" customHeight="1" x14ac:dyDescent="0.25">
      <c r="A336" s="27"/>
      <c r="B336" s="27"/>
      <c r="C336" s="28"/>
      <c r="D336" s="28"/>
      <c r="F336" t="str">
        <f>IF(A336="","",(VLOOKUP(A336,'🧱 Plan comptable source'!A:E,4,FALSE)))</f>
        <v/>
      </c>
      <c r="G336" t="str">
        <f>IF(A336="","",(VLOOKUP(A336,'🧱 Plan comptable source'!A:E,5,FALSE)))</f>
        <v/>
      </c>
    </row>
    <row r="337" spans="1:7" ht="20.25" customHeight="1" x14ac:dyDescent="0.25">
      <c r="A337" s="27"/>
      <c r="B337" s="27"/>
      <c r="C337" s="28"/>
      <c r="D337" s="28"/>
      <c r="F337" t="str">
        <f>IF(A337="","",(VLOOKUP(A337,'🧱 Plan comptable source'!A:E,4,FALSE)))</f>
        <v/>
      </c>
      <c r="G337" t="str">
        <f>IF(A337="","",(VLOOKUP(A337,'🧱 Plan comptable source'!A:E,5,FALSE)))</f>
        <v/>
      </c>
    </row>
    <row r="338" spans="1:7" ht="20.25" customHeight="1" x14ac:dyDescent="0.25">
      <c r="A338" s="27"/>
      <c r="B338" s="27"/>
      <c r="C338" s="28"/>
      <c r="D338" s="28"/>
      <c r="F338" t="str">
        <f>IF(A338="","",(VLOOKUP(A338,'🧱 Plan comptable source'!A:E,4,FALSE)))</f>
        <v/>
      </c>
      <c r="G338" t="str">
        <f>IF(A338="","",(VLOOKUP(A338,'🧱 Plan comptable source'!A:E,5,FALSE)))</f>
        <v/>
      </c>
    </row>
    <row r="339" spans="1:7" ht="20.25" customHeight="1" x14ac:dyDescent="0.25">
      <c r="A339" s="27"/>
      <c r="B339" s="27"/>
      <c r="C339" s="28"/>
      <c r="D339" s="28"/>
      <c r="F339" t="str">
        <f>IF(A339="","",(VLOOKUP(A339,'🧱 Plan comptable source'!A:E,4,FALSE)))</f>
        <v/>
      </c>
      <c r="G339" t="str">
        <f>IF(A339="","",(VLOOKUP(A339,'🧱 Plan comptable source'!A:E,5,FALSE)))</f>
        <v/>
      </c>
    </row>
    <row r="340" spans="1:7" ht="20.25" customHeight="1" x14ac:dyDescent="0.25">
      <c r="A340" s="27"/>
      <c r="B340" s="27"/>
      <c r="C340" s="28"/>
      <c r="D340" s="28"/>
      <c r="F340" t="str">
        <f>IF(A340="","",(VLOOKUP(A340,'🧱 Plan comptable source'!A:E,4,FALSE)))</f>
        <v/>
      </c>
      <c r="G340" t="str">
        <f>IF(A340="","",(VLOOKUP(A340,'🧱 Plan comptable source'!A:E,5,FALSE)))</f>
        <v/>
      </c>
    </row>
    <row r="341" spans="1:7" ht="20.25" customHeight="1" x14ac:dyDescent="0.25">
      <c r="A341" s="27"/>
      <c r="B341" s="27"/>
      <c r="C341" s="28"/>
      <c r="D341" s="28"/>
      <c r="F341" t="str">
        <f>IF(A341="","",(VLOOKUP(A341,'🧱 Plan comptable source'!A:E,4,FALSE)))</f>
        <v/>
      </c>
      <c r="G341" t="str">
        <f>IF(A341="","",(VLOOKUP(A341,'🧱 Plan comptable source'!A:E,5,FALSE)))</f>
        <v/>
      </c>
    </row>
    <row r="342" spans="1:7" ht="20.25" customHeight="1" x14ac:dyDescent="0.25">
      <c r="A342" s="27"/>
      <c r="B342" s="27"/>
      <c r="C342" s="28"/>
      <c r="D342" s="28"/>
      <c r="F342" t="str">
        <f>IF(A342="","",(VLOOKUP(A342,'🧱 Plan comptable source'!A:E,4,FALSE)))</f>
        <v/>
      </c>
      <c r="G342" t="str">
        <f>IF(A342="","",(VLOOKUP(A342,'🧱 Plan comptable source'!A:E,5,FALSE)))</f>
        <v/>
      </c>
    </row>
    <row r="343" spans="1:7" ht="20.25" customHeight="1" x14ac:dyDescent="0.25">
      <c r="A343" s="27"/>
      <c r="B343" s="27"/>
      <c r="C343" s="28"/>
      <c r="D343" s="28"/>
      <c r="F343" t="str">
        <f>IF(A343="","",(VLOOKUP(A343,'🧱 Plan comptable source'!A:E,4,FALSE)))</f>
        <v/>
      </c>
      <c r="G343" t="str">
        <f>IF(A343="","",(VLOOKUP(A343,'🧱 Plan comptable source'!A:E,5,FALSE)))</f>
        <v/>
      </c>
    </row>
    <row r="344" spans="1:7" ht="20.25" customHeight="1" x14ac:dyDescent="0.25">
      <c r="A344" s="27"/>
      <c r="B344" s="27"/>
      <c r="C344" s="28"/>
      <c r="D344" s="28"/>
      <c r="F344" t="str">
        <f>IF(A344="","",(VLOOKUP(A344,'🧱 Plan comptable source'!A:E,4,FALSE)))</f>
        <v/>
      </c>
      <c r="G344" t="str">
        <f>IF(A344="","",(VLOOKUP(A344,'🧱 Plan comptable source'!A:E,5,FALSE)))</f>
        <v/>
      </c>
    </row>
    <row r="345" spans="1:7" ht="20.25" customHeight="1" x14ac:dyDescent="0.25">
      <c r="A345" s="27"/>
      <c r="B345" s="27"/>
      <c r="C345" s="28"/>
      <c r="D345" s="28"/>
      <c r="F345" t="str">
        <f>IF(A345="","",(VLOOKUP(A345,'🧱 Plan comptable source'!A:E,4,FALSE)))</f>
        <v/>
      </c>
      <c r="G345" t="str">
        <f>IF(A345="","",(VLOOKUP(A345,'🧱 Plan comptable source'!A:E,5,FALSE)))</f>
        <v/>
      </c>
    </row>
    <row r="346" spans="1:7" ht="20.25" customHeight="1" x14ac:dyDescent="0.25">
      <c r="A346" s="27"/>
      <c r="B346" s="27"/>
      <c r="C346" s="28"/>
      <c r="D346" s="28"/>
      <c r="F346" t="str">
        <f>IF(A346="","",(VLOOKUP(A346,'🧱 Plan comptable source'!A:E,4,FALSE)))</f>
        <v/>
      </c>
      <c r="G346" t="str">
        <f>IF(A346="","",(VLOOKUP(A346,'🧱 Plan comptable source'!A:E,5,FALSE)))</f>
        <v/>
      </c>
    </row>
    <row r="347" spans="1:7" ht="20.25" customHeight="1" x14ac:dyDescent="0.25">
      <c r="A347" s="27"/>
      <c r="B347" s="27"/>
      <c r="C347" s="28"/>
      <c r="D347" s="28"/>
      <c r="F347" t="str">
        <f>IF(A347="","",(VLOOKUP(A347,'🧱 Plan comptable source'!A:E,4,FALSE)))</f>
        <v/>
      </c>
      <c r="G347" t="str">
        <f>IF(A347="","",(VLOOKUP(A347,'🧱 Plan comptable source'!A:E,5,FALSE)))</f>
        <v/>
      </c>
    </row>
    <row r="348" spans="1:7" ht="20.25" customHeight="1" x14ac:dyDescent="0.25">
      <c r="A348" s="27"/>
      <c r="B348" s="27"/>
      <c r="C348" s="28"/>
      <c r="D348" s="28"/>
      <c r="F348" t="str">
        <f>IF(A348="","",(VLOOKUP(A348,'🧱 Plan comptable source'!A:E,4,FALSE)))</f>
        <v/>
      </c>
      <c r="G348" t="str">
        <f>IF(A348="","",(VLOOKUP(A348,'🧱 Plan comptable source'!A:E,5,FALSE)))</f>
        <v/>
      </c>
    </row>
    <row r="349" spans="1:7" ht="20.25" customHeight="1" x14ac:dyDescent="0.25">
      <c r="A349" s="27"/>
      <c r="B349" s="27"/>
      <c r="C349" s="28"/>
      <c r="D349" s="28"/>
      <c r="F349" t="str">
        <f>IF(A349="","",(VLOOKUP(A349,'🧱 Plan comptable source'!A:E,4,FALSE)))</f>
        <v/>
      </c>
      <c r="G349" t="str">
        <f>IF(A349="","",(VLOOKUP(A349,'🧱 Plan comptable source'!A:E,5,FALSE)))</f>
        <v/>
      </c>
    </row>
    <row r="350" spans="1:7" ht="20.25" customHeight="1" x14ac:dyDescent="0.25">
      <c r="A350" s="27"/>
      <c r="B350" s="27"/>
      <c r="C350" s="28"/>
      <c r="D350" s="28"/>
      <c r="F350" t="str">
        <f>IF(A350="","",(VLOOKUP(A350,'🧱 Plan comptable source'!A:E,4,FALSE)))</f>
        <v/>
      </c>
      <c r="G350" t="str">
        <f>IF(A350="","",(VLOOKUP(A350,'🧱 Plan comptable source'!A:E,5,FALSE)))</f>
        <v/>
      </c>
    </row>
    <row r="351" spans="1:7" ht="20.25" customHeight="1" x14ac:dyDescent="0.25">
      <c r="A351" s="27"/>
      <c r="B351" s="27"/>
      <c r="C351" s="28"/>
      <c r="D351" s="28"/>
      <c r="F351" t="str">
        <f>IF(A351="","",(VLOOKUP(A351,'🧱 Plan comptable source'!A:E,4,FALSE)))</f>
        <v/>
      </c>
      <c r="G351" t="str">
        <f>IF(A351="","",(VLOOKUP(A351,'🧱 Plan comptable source'!A:E,5,FALSE)))</f>
        <v/>
      </c>
    </row>
    <row r="352" spans="1:7" ht="20.25" customHeight="1" x14ac:dyDescent="0.25">
      <c r="A352" s="27"/>
      <c r="B352" s="27"/>
      <c r="C352" s="28"/>
      <c r="D352" s="28"/>
      <c r="F352" t="str">
        <f>IF(A352="","",(VLOOKUP(A352,'🧱 Plan comptable source'!A:E,4,FALSE)))</f>
        <v/>
      </c>
      <c r="G352" t="str">
        <f>IF(A352="","",(VLOOKUP(A352,'🧱 Plan comptable source'!A:E,5,FALSE)))</f>
        <v/>
      </c>
    </row>
    <row r="353" spans="1:7" ht="20.25" customHeight="1" x14ac:dyDescent="0.25">
      <c r="A353" s="27"/>
      <c r="B353" s="27"/>
      <c r="C353" s="28"/>
      <c r="D353" s="28"/>
      <c r="F353" t="str">
        <f>IF(A353="","",(VLOOKUP(A353,'🧱 Plan comptable source'!A:E,4,FALSE)))</f>
        <v/>
      </c>
      <c r="G353" t="str">
        <f>IF(A353="","",(VLOOKUP(A353,'🧱 Plan comptable source'!A:E,5,FALSE)))</f>
        <v/>
      </c>
    </row>
    <row r="354" spans="1:7" ht="20.25" customHeight="1" x14ac:dyDescent="0.25">
      <c r="A354" s="27"/>
      <c r="B354" s="27"/>
      <c r="C354" s="28"/>
      <c r="D354" s="28"/>
      <c r="F354" t="str">
        <f>IF(A354="","",(VLOOKUP(A354,'🧱 Plan comptable source'!A:E,4,FALSE)))</f>
        <v/>
      </c>
      <c r="G354" t="str">
        <f>IF(A354="","",(VLOOKUP(A354,'🧱 Plan comptable source'!A:E,5,FALSE)))</f>
        <v/>
      </c>
    </row>
    <row r="355" spans="1:7" ht="20.25" customHeight="1" x14ac:dyDescent="0.25">
      <c r="A355" s="27"/>
      <c r="B355" s="27"/>
      <c r="C355" s="28"/>
      <c r="D355" s="28"/>
      <c r="F355" t="str">
        <f>IF(A355="","",(VLOOKUP(A355,'🧱 Plan comptable source'!A:E,4,FALSE)))</f>
        <v/>
      </c>
      <c r="G355" t="str">
        <f>IF(A355="","",(VLOOKUP(A355,'🧱 Plan comptable source'!A:E,5,FALSE)))</f>
        <v/>
      </c>
    </row>
    <row r="356" spans="1:7" ht="20.25" customHeight="1" x14ac:dyDescent="0.25">
      <c r="A356" s="27"/>
      <c r="B356" s="27"/>
      <c r="C356" s="28"/>
      <c r="D356" s="28"/>
      <c r="F356" t="str">
        <f>IF(A356="","",(VLOOKUP(A356,'🧱 Plan comptable source'!A:E,4,FALSE)))</f>
        <v/>
      </c>
      <c r="G356" t="str">
        <f>IF(A356="","",(VLOOKUP(A356,'🧱 Plan comptable source'!A:E,5,FALSE)))</f>
        <v/>
      </c>
    </row>
    <row r="357" spans="1:7" ht="20.25" customHeight="1" x14ac:dyDescent="0.25">
      <c r="A357" s="27"/>
      <c r="B357" s="27"/>
      <c r="C357" s="28"/>
      <c r="D357" s="28"/>
      <c r="F357" t="str">
        <f>IF(A357="","",(VLOOKUP(A357,'🧱 Plan comptable source'!A:E,4,FALSE)))</f>
        <v/>
      </c>
      <c r="G357" t="str">
        <f>IF(A357="","",(VLOOKUP(A357,'🧱 Plan comptable source'!A:E,5,FALSE)))</f>
        <v/>
      </c>
    </row>
    <row r="358" spans="1:7" ht="20.25" customHeight="1" x14ac:dyDescent="0.25">
      <c r="A358" s="27"/>
      <c r="B358" s="27"/>
      <c r="C358" s="28"/>
      <c r="D358" s="28"/>
      <c r="F358" t="str">
        <f>IF(A358="","",(VLOOKUP(A358,'🧱 Plan comptable source'!A:E,4,FALSE)))</f>
        <v/>
      </c>
      <c r="G358" t="str">
        <f>IF(A358="","",(VLOOKUP(A358,'🧱 Plan comptable source'!A:E,5,FALSE)))</f>
        <v/>
      </c>
    </row>
    <row r="359" spans="1:7" ht="20.25" customHeight="1" x14ac:dyDescent="0.25">
      <c r="A359" s="27"/>
      <c r="B359" s="27"/>
      <c r="C359" s="28"/>
      <c r="D359" s="28"/>
      <c r="F359" t="str">
        <f>IF(A359="","",(VLOOKUP(A359,'🧱 Plan comptable source'!A:E,4,FALSE)))</f>
        <v/>
      </c>
      <c r="G359" t="str">
        <f>IF(A359="","",(VLOOKUP(A359,'🧱 Plan comptable source'!A:E,5,FALSE)))</f>
        <v/>
      </c>
    </row>
    <row r="360" spans="1:7" ht="20.25" customHeight="1" x14ac:dyDescent="0.25">
      <c r="A360" s="27"/>
      <c r="B360" s="27"/>
      <c r="C360" s="28"/>
      <c r="D360" s="28"/>
      <c r="F360" t="str">
        <f>IF(A360="","",(VLOOKUP(A360,'🧱 Plan comptable source'!A:E,4,FALSE)))</f>
        <v/>
      </c>
      <c r="G360" t="str">
        <f>IF(A360="","",(VLOOKUP(A360,'🧱 Plan comptable source'!A:E,5,FALSE)))</f>
        <v/>
      </c>
    </row>
    <row r="361" spans="1:7" ht="20.25" customHeight="1" x14ac:dyDescent="0.25">
      <c r="A361" s="27"/>
      <c r="B361" s="27"/>
      <c r="C361" s="28"/>
      <c r="D361" s="28"/>
      <c r="F361" t="str">
        <f>IF(A361="","",(VLOOKUP(A361,'🧱 Plan comptable source'!A:E,4,FALSE)))</f>
        <v/>
      </c>
      <c r="G361" t="str">
        <f>IF(A361="","",(VLOOKUP(A361,'🧱 Plan comptable source'!A:E,5,FALSE)))</f>
        <v/>
      </c>
    </row>
    <row r="362" spans="1:7" ht="20.25" customHeight="1" x14ac:dyDescent="0.25">
      <c r="A362" s="27"/>
      <c r="B362" s="27"/>
      <c r="C362" s="28"/>
      <c r="D362" s="28"/>
      <c r="F362" t="str">
        <f>IF(A362="","",(VLOOKUP(A362,'🧱 Plan comptable source'!A:E,4,FALSE)))</f>
        <v/>
      </c>
      <c r="G362" t="str">
        <f>IF(A362="","",(VLOOKUP(A362,'🧱 Plan comptable source'!A:E,5,FALSE)))</f>
        <v/>
      </c>
    </row>
    <row r="363" spans="1:7" ht="20.25" customHeight="1" x14ac:dyDescent="0.25">
      <c r="A363" s="27"/>
      <c r="B363" s="27"/>
      <c r="C363" s="28"/>
      <c r="D363" s="28"/>
      <c r="F363" t="str">
        <f>IF(A363="","",(VLOOKUP(A363,'🧱 Plan comptable source'!A:E,4,FALSE)))</f>
        <v/>
      </c>
      <c r="G363" t="str">
        <f>IF(A363="","",(VLOOKUP(A363,'🧱 Plan comptable source'!A:E,5,FALSE)))</f>
        <v/>
      </c>
    </row>
    <row r="364" spans="1:7" ht="20.25" customHeight="1" x14ac:dyDescent="0.25">
      <c r="A364" s="27"/>
      <c r="B364" s="27"/>
      <c r="C364" s="28"/>
      <c r="D364" s="28"/>
      <c r="F364" t="str">
        <f>IF(A364="","",(VLOOKUP(A364,'🧱 Plan comptable source'!A:E,4,FALSE)))</f>
        <v/>
      </c>
      <c r="G364" t="str">
        <f>IF(A364="","",(VLOOKUP(A364,'🧱 Plan comptable source'!A:E,5,FALSE)))</f>
        <v/>
      </c>
    </row>
    <row r="365" spans="1:7" ht="20.25" customHeight="1" x14ac:dyDescent="0.25">
      <c r="A365" s="27"/>
      <c r="B365" s="27"/>
      <c r="C365" s="28"/>
      <c r="D365" s="28"/>
      <c r="F365" t="str">
        <f>IF(A365="","",(VLOOKUP(A365,'🧱 Plan comptable source'!A:E,4,FALSE)))</f>
        <v/>
      </c>
      <c r="G365" t="str">
        <f>IF(A365="","",(VLOOKUP(A365,'🧱 Plan comptable source'!A:E,5,FALSE)))</f>
        <v/>
      </c>
    </row>
    <row r="366" spans="1:7" ht="20.25" customHeight="1" x14ac:dyDescent="0.25">
      <c r="A366" s="27"/>
      <c r="B366" s="27"/>
      <c r="C366" s="28"/>
      <c r="D366" s="28"/>
      <c r="F366" t="str">
        <f>IF(A366="","",(VLOOKUP(A366,'🧱 Plan comptable source'!A:E,4,FALSE)))</f>
        <v/>
      </c>
      <c r="G366" t="str">
        <f>IF(A366="","",(VLOOKUP(A366,'🧱 Plan comptable source'!A:E,5,FALSE)))</f>
        <v/>
      </c>
    </row>
    <row r="367" spans="1:7" ht="20.25" customHeight="1" x14ac:dyDescent="0.25">
      <c r="A367" s="27"/>
      <c r="B367" s="27"/>
      <c r="C367" s="28"/>
      <c r="D367" s="28"/>
      <c r="F367" t="str">
        <f>IF(A367="","",(VLOOKUP(A367,'🧱 Plan comptable source'!A:E,4,FALSE)))</f>
        <v/>
      </c>
      <c r="G367" t="str">
        <f>IF(A367="","",(VLOOKUP(A367,'🧱 Plan comptable source'!A:E,5,FALSE)))</f>
        <v/>
      </c>
    </row>
    <row r="368" spans="1:7" ht="20.25" customHeight="1" x14ac:dyDescent="0.25">
      <c r="A368" s="27"/>
      <c r="B368" s="27"/>
      <c r="C368" s="28"/>
      <c r="D368" s="28"/>
      <c r="F368" t="str">
        <f>IF(A368="","",(VLOOKUP(A368,'🧱 Plan comptable source'!A:E,4,FALSE)))</f>
        <v/>
      </c>
      <c r="G368" t="str">
        <f>IF(A368="","",(VLOOKUP(A368,'🧱 Plan comptable source'!A:E,5,FALSE)))</f>
        <v/>
      </c>
    </row>
    <row r="369" spans="1:7" ht="20.25" customHeight="1" x14ac:dyDescent="0.25">
      <c r="A369" s="27"/>
      <c r="B369" s="27"/>
      <c r="C369" s="28"/>
      <c r="D369" s="28"/>
      <c r="F369" t="str">
        <f>IF(A369="","",(VLOOKUP(A369,'🧱 Plan comptable source'!A:E,4,FALSE)))</f>
        <v/>
      </c>
      <c r="G369" t="str">
        <f>IF(A369="","",(VLOOKUP(A369,'🧱 Plan comptable source'!A:E,5,FALSE)))</f>
        <v/>
      </c>
    </row>
    <row r="370" spans="1:7" ht="20.25" customHeight="1" x14ac:dyDescent="0.25">
      <c r="A370" s="27"/>
      <c r="B370" s="27"/>
      <c r="C370" s="28"/>
      <c r="D370" s="28"/>
      <c r="F370" t="str">
        <f>IF(A370="","",(VLOOKUP(A370,'🧱 Plan comptable source'!A:E,4,FALSE)))</f>
        <v/>
      </c>
      <c r="G370" t="str">
        <f>IF(A370="","",(VLOOKUP(A370,'🧱 Plan comptable source'!A:E,5,FALSE)))</f>
        <v/>
      </c>
    </row>
    <row r="371" spans="1:7" ht="20.25" customHeight="1" x14ac:dyDescent="0.25">
      <c r="A371" s="27"/>
      <c r="B371" s="27"/>
      <c r="C371" s="28"/>
      <c r="D371" s="28"/>
      <c r="F371" t="str">
        <f>IF(A371="","",(VLOOKUP(A371,'🧱 Plan comptable source'!A:E,4,FALSE)))</f>
        <v/>
      </c>
      <c r="G371" t="str">
        <f>IF(A371="","",(VLOOKUP(A371,'🧱 Plan comptable source'!A:E,5,FALSE)))</f>
        <v/>
      </c>
    </row>
    <row r="372" spans="1:7" ht="20.25" customHeight="1" x14ac:dyDescent="0.25">
      <c r="A372" s="27"/>
      <c r="B372" s="27"/>
      <c r="C372" s="28"/>
      <c r="D372" s="28"/>
      <c r="F372" t="str">
        <f>IF(A372="","",(VLOOKUP(A372,'🧱 Plan comptable source'!A:E,4,FALSE)))</f>
        <v/>
      </c>
      <c r="G372" t="str">
        <f>IF(A372="","",(VLOOKUP(A372,'🧱 Plan comptable source'!A:E,5,FALSE)))</f>
        <v/>
      </c>
    </row>
    <row r="373" spans="1:7" ht="20.25" customHeight="1" x14ac:dyDescent="0.25">
      <c r="A373" s="27"/>
      <c r="B373" s="27"/>
      <c r="C373" s="28"/>
      <c r="D373" s="28"/>
      <c r="F373" t="str">
        <f>IF(A373="","",(VLOOKUP(A373,'🧱 Plan comptable source'!A:E,4,FALSE)))</f>
        <v/>
      </c>
      <c r="G373" t="str">
        <f>IF(A373="","",(VLOOKUP(A373,'🧱 Plan comptable source'!A:E,5,FALSE)))</f>
        <v/>
      </c>
    </row>
    <row r="374" spans="1:7" ht="20.25" customHeight="1" x14ac:dyDescent="0.25">
      <c r="A374" s="27"/>
      <c r="B374" s="27"/>
      <c r="C374" s="28"/>
      <c r="D374" s="28"/>
      <c r="F374" t="str">
        <f>IF(A374="","",(VLOOKUP(A374,'🧱 Plan comptable source'!A:E,4,FALSE)))</f>
        <v/>
      </c>
      <c r="G374" t="str">
        <f>IF(A374="","",(VLOOKUP(A374,'🧱 Plan comptable source'!A:E,5,FALSE)))</f>
        <v/>
      </c>
    </row>
    <row r="375" spans="1:7" ht="20.25" customHeight="1" x14ac:dyDescent="0.25">
      <c r="A375" s="27"/>
      <c r="B375" s="27"/>
      <c r="C375" s="28"/>
      <c r="D375" s="28"/>
      <c r="F375" t="str">
        <f>IF(A375="","",(VLOOKUP(A375,'🧱 Plan comptable source'!A:E,4,FALSE)))</f>
        <v/>
      </c>
      <c r="G375" t="str">
        <f>IF(A375="","",(VLOOKUP(A375,'🧱 Plan comptable source'!A:E,5,FALSE)))</f>
        <v/>
      </c>
    </row>
    <row r="376" spans="1:7" ht="20.25" customHeight="1" x14ac:dyDescent="0.25">
      <c r="A376" s="27"/>
      <c r="B376" s="27"/>
      <c r="C376" s="28"/>
      <c r="D376" s="28"/>
      <c r="F376" t="str">
        <f>IF(A376="","",(VLOOKUP(A376,'🧱 Plan comptable source'!A:E,4,FALSE)))</f>
        <v/>
      </c>
      <c r="G376" t="str">
        <f>IF(A376="","",(VLOOKUP(A376,'🧱 Plan comptable source'!A:E,5,FALSE)))</f>
        <v/>
      </c>
    </row>
    <row r="377" spans="1:7" ht="20.25" customHeight="1" x14ac:dyDescent="0.25">
      <c r="A377" s="27"/>
      <c r="B377" s="27"/>
      <c r="C377" s="28"/>
      <c r="D377" s="28"/>
      <c r="F377" t="str">
        <f>IF(A377="","",(VLOOKUP(A377,'🧱 Plan comptable source'!A:E,4,FALSE)))</f>
        <v/>
      </c>
      <c r="G377" t="str">
        <f>IF(A377="","",(VLOOKUP(A377,'🧱 Plan comptable source'!A:E,5,FALSE)))</f>
        <v/>
      </c>
    </row>
    <row r="378" spans="1:7" ht="20.25" customHeight="1" x14ac:dyDescent="0.25">
      <c r="A378" s="27"/>
      <c r="B378" s="27"/>
      <c r="C378" s="28"/>
      <c r="D378" s="28"/>
      <c r="F378" t="str">
        <f>IF(A378="","",(VLOOKUP(A378,'🧱 Plan comptable source'!A:E,4,FALSE)))</f>
        <v/>
      </c>
      <c r="G378" t="str">
        <f>IF(A378="","",(VLOOKUP(A378,'🧱 Plan comptable source'!A:E,5,FALSE)))</f>
        <v/>
      </c>
    </row>
    <row r="379" spans="1:7" ht="20.25" customHeight="1" x14ac:dyDescent="0.25">
      <c r="A379" s="27"/>
      <c r="B379" s="27"/>
      <c r="C379" s="28"/>
      <c r="D379" s="28"/>
      <c r="F379" t="str">
        <f>IF(A379="","",(VLOOKUP(A379,'🧱 Plan comptable source'!A:E,4,FALSE)))</f>
        <v/>
      </c>
      <c r="G379" t="str">
        <f>IF(A379="","",(VLOOKUP(A379,'🧱 Plan comptable source'!A:E,5,FALSE)))</f>
        <v/>
      </c>
    </row>
    <row r="380" spans="1:7" ht="20.25" customHeight="1" x14ac:dyDescent="0.25">
      <c r="A380" s="27"/>
      <c r="B380" s="27"/>
      <c r="C380" s="28"/>
      <c r="D380" s="28"/>
      <c r="F380" t="str">
        <f>IF(A380="","",(VLOOKUP(A380,'🧱 Plan comptable source'!A:E,4,FALSE)))</f>
        <v/>
      </c>
      <c r="G380" t="str">
        <f>IF(A380="","",(VLOOKUP(A380,'🧱 Plan comptable source'!A:E,5,FALSE)))</f>
        <v/>
      </c>
    </row>
    <row r="381" spans="1:7" ht="20.25" customHeight="1" x14ac:dyDescent="0.25">
      <c r="A381" s="27"/>
      <c r="B381" s="27"/>
      <c r="C381" s="28"/>
      <c r="D381" s="28"/>
      <c r="F381" t="str">
        <f>IF(A381="","",(VLOOKUP(A381,'🧱 Plan comptable source'!A:E,4,FALSE)))</f>
        <v/>
      </c>
      <c r="G381" t="str">
        <f>IF(A381="","",(VLOOKUP(A381,'🧱 Plan comptable source'!A:E,5,FALSE)))</f>
        <v/>
      </c>
    </row>
    <row r="382" spans="1:7" ht="20.25" customHeight="1" x14ac:dyDescent="0.25">
      <c r="A382" s="27"/>
      <c r="B382" s="27"/>
      <c r="C382" s="28"/>
      <c r="D382" s="28"/>
      <c r="F382" t="str">
        <f>IF(A382="","",(VLOOKUP(A382,'🧱 Plan comptable source'!A:E,4,FALSE)))</f>
        <v/>
      </c>
      <c r="G382" t="str">
        <f>IF(A382="","",(VLOOKUP(A382,'🧱 Plan comptable source'!A:E,5,FALSE)))</f>
        <v/>
      </c>
    </row>
    <row r="383" spans="1:7" ht="20.25" customHeight="1" x14ac:dyDescent="0.25">
      <c r="A383" s="27"/>
      <c r="B383" s="27"/>
      <c r="C383" s="28"/>
      <c r="D383" s="28"/>
      <c r="F383" t="str">
        <f>IF(A383="","",(VLOOKUP(A383,'🧱 Plan comptable source'!A:E,4,FALSE)))</f>
        <v/>
      </c>
      <c r="G383" t="str">
        <f>IF(A383="","",(VLOOKUP(A383,'🧱 Plan comptable source'!A:E,5,FALSE)))</f>
        <v/>
      </c>
    </row>
    <row r="384" spans="1:7" ht="20.25" customHeight="1" x14ac:dyDescent="0.25">
      <c r="A384" s="27"/>
      <c r="B384" s="27"/>
      <c r="C384" s="28"/>
      <c r="D384" s="28"/>
      <c r="F384" t="str">
        <f>IF(A384="","",(VLOOKUP(A384,'🧱 Plan comptable source'!A:E,4,FALSE)))</f>
        <v/>
      </c>
      <c r="G384" t="str">
        <f>IF(A384="","",(VLOOKUP(A384,'🧱 Plan comptable source'!A:E,5,FALSE)))</f>
        <v/>
      </c>
    </row>
    <row r="385" spans="1:7" ht="20.25" customHeight="1" x14ac:dyDescent="0.25">
      <c r="A385" s="27"/>
      <c r="B385" s="27"/>
      <c r="C385" s="28"/>
      <c r="D385" s="28"/>
      <c r="F385" t="str">
        <f>IF(A385="","",(VLOOKUP(A385,'🧱 Plan comptable source'!A:E,4,FALSE)))</f>
        <v/>
      </c>
      <c r="G385" t="str">
        <f>IF(A385="","",(VLOOKUP(A385,'🧱 Plan comptable source'!A:E,5,FALSE)))</f>
        <v/>
      </c>
    </row>
    <row r="386" spans="1:7" ht="20.25" customHeight="1" x14ac:dyDescent="0.25">
      <c r="A386" s="27"/>
      <c r="B386" s="27"/>
      <c r="C386" s="28"/>
      <c r="D386" s="28"/>
      <c r="F386" t="str">
        <f>IF(A386="","",(VLOOKUP(A386,'🧱 Plan comptable source'!A:E,4,FALSE)))</f>
        <v/>
      </c>
      <c r="G386" t="str">
        <f>IF(A386="","",(VLOOKUP(A386,'🧱 Plan comptable source'!A:E,5,FALSE)))</f>
        <v/>
      </c>
    </row>
    <row r="387" spans="1:7" ht="20.25" customHeight="1" x14ac:dyDescent="0.25">
      <c r="A387" s="27"/>
      <c r="B387" s="27"/>
      <c r="C387" s="28"/>
      <c r="D387" s="28"/>
      <c r="F387" t="str">
        <f>IF(A387="","",(VLOOKUP(A387,'🧱 Plan comptable source'!A:E,4,FALSE)))</f>
        <v/>
      </c>
      <c r="G387" t="str">
        <f>IF(A387="","",(VLOOKUP(A387,'🧱 Plan comptable source'!A:E,5,FALSE)))</f>
        <v/>
      </c>
    </row>
    <row r="388" spans="1:7" ht="20.25" customHeight="1" x14ac:dyDescent="0.25">
      <c r="A388" s="27"/>
      <c r="B388" s="27"/>
      <c r="C388" s="28"/>
      <c r="D388" s="28"/>
      <c r="F388" t="str">
        <f>IF(A388="","",(VLOOKUP(A388,'🧱 Plan comptable source'!A:E,4,FALSE)))</f>
        <v/>
      </c>
      <c r="G388" t="str">
        <f>IF(A388="","",(VLOOKUP(A388,'🧱 Plan comptable source'!A:E,5,FALSE)))</f>
        <v/>
      </c>
    </row>
    <row r="389" spans="1:7" ht="20.25" customHeight="1" x14ac:dyDescent="0.25">
      <c r="A389" s="27"/>
      <c r="B389" s="27"/>
      <c r="C389" s="28"/>
      <c r="D389" s="28"/>
      <c r="F389" t="str">
        <f>IF(A389="","",(VLOOKUP(A389,'🧱 Plan comptable source'!A:E,4,FALSE)))</f>
        <v/>
      </c>
      <c r="G389" t="str">
        <f>IF(A389="","",(VLOOKUP(A389,'🧱 Plan comptable source'!A:E,5,FALSE)))</f>
        <v/>
      </c>
    </row>
    <row r="390" spans="1:7" ht="20.25" customHeight="1" x14ac:dyDescent="0.25">
      <c r="A390" s="27"/>
      <c r="B390" s="27"/>
      <c r="C390" s="28"/>
      <c r="D390" s="28"/>
      <c r="F390" t="str">
        <f>IF(A390="","",(VLOOKUP(A390,'🧱 Plan comptable source'!A:E,4,FALSE)))</f>
        <v/>
      </c>
      <c r="G390" t="str">
        <f>IF(A390="","",(VLOOKUP(A390,'🧱 Plan comptable source'!A:E,5,FALSE)))</f>
        <v/>
      </c>
    </row>
    <row r="391" spans="1:7" ht="20.25" customHeight="1" x14ac:dyDescent="0.25">
      <c r="A391" s="27"/>
      <c r="B391" s="27"/>
      <c r="C391" s="28"/>
      <c r="D391" s="28"/>
      <c r="F391" t="str">
        <f>IF(A391="","",(VLOOKUP(A391,'🧱 Plan comptable source'!A:E,4,FALSE)))</f>
        <v/>
      </c>
      <c r="G391" t="str">
        <f>IF(A391="","",(VLOOKUP(A391,'🧱 Plan comptable source'!A:E,5,FALSE)))</f>
        <v/>
      </c>
    </row>
    <row r="392" spans="1:7" ht="20.25" customHeight="1" x14ac:dyDescent="0.25">
      <c r="A392" s="27"/>
      <c r="B392" s="27"/>
      <c r="C392" s="28"/>
      <c r="D392" s="28"/>
      <c r="F392" t="str">
        <f>IF(A392="","",(VLOOKUP(A392,'🧱 Plan comptable source'!A:E,4,FALSE)))</f>
        <v/>
      </c>
      <c r="G392" t="str">
        <f>IF(A392="","",(VLOOKUP(A392,'🧱 Plan comptable source'!A:E,5,FALSE)))</f>
        <v/>
      </c>
    </row>
    <row r="393" spans="1:7" ht="20.25" customHeight="1" x14ac:dyDescent="0.25">
      <c r="A393" s="27"/>
      <c r="B393" s="27"/>
      <c r="C393" s="28"/>
      <c r="D393" s="28"/>
      <c r="F393" t="str">
        <f>IF(A393="","",(VLOOKUP(A393,'🧱 Plan comptable source'!A:E,4,FALSE)))</f>
        <v/>
      </c>
      <c r="G393" t="str">
        <f>IF(A393="","",(VLOOKUP(A393,'🧱 Plan comptable source'!A:E,5,FALSE)))</f>
        <v/>
      </c>
    </row>
    <row r="394" spans="1:7" ht="20.25" customHeight="1" x14ac:dyDescent="0.25">
      <c r="A394" s="27"/>
      <c r="B394" s="27"/>
      <c r="C394" s="28"/>
      <c r="D394" s="28"/>
      <c r="F394" t="str">
        <f>IF(A394="","",(VLOOKUP(A394,'🧱 Plan comptable source'!A:E,4,FALSE)))</f>
        <v/>
      </c>
      <c r="G394" t="str">
        <f>IF(A394="","",(VLOOKUP(A394,'🧱 Plan comptable source'!A:E,5,FALSE)))</f>
        <v/>
      </c>
    </row>
    <row r="395" spans="1:7" ht="20.25" customHeight="1" x14ac:dyDescent="0.25">
      <c r="A395" s="27"/>
      <c r="B395" s="27"/>
      <c r="C395" s="28"/>
      <c r="D395" s="28"/>
      <c r="F395" t="str">
        <f>IF(A395="","",(VLOOKUP(A395,'🧱 Plan comptable source'!A:E,4,FALSE)))</f>
        <v/>
      </c>
      <c r="G395" t="str">
        <f>IF(A395="","",(VLOOKUP(A395,'🧱 Plan comptable source'!A:E,5,FALSE)))</f>
        <v/>
      </c>
    </row>
    <row r="396" spans="1:7" ht="20.25" customHeight="1" x14ac:dyDescent="0.25">
      <c r="A396" s="27"/>
      <c r="B396" s="27"/>
      <c r="C396" s="28"/>
      <c r="D396" s="28"/>
      <c r="F396" t="str">
        <f>IF(A396="","",(VLOOKUP(A396,'🧱 Plan comptable source'!A:E,4,FALSE)))</f>
        <v/>
      </c>
      <c r="G396" t="str">
        <f>IF(A396="","",(VLOOKUP(A396,'🧱 Plan comptable source'!A:E,5,FALSE)))</f>
        <v/>
      </c>
    </row>
    <row r="397" spans="1:7" ht="20.25" customHeight="1" x14ac:dyDescent="0.25">
      <c r="A397" s="27"/>
      <c r="B397" s="27"/>
      <c r="C397" s="28"/>
      <c r="D397" s="28"/>
      <c r="F397" t="str">
        <f>IF(A397="","",(VLOOKUP(A397,'🧱 Plan comptable source'!A:E,4,FALSE)))</f>
        <v/>
      </c>
      <c r="G397" t="str">
        <f>IF(A397="","",(VLOOKUP(A397,'🧱 Plan comptable source'!A:E,5,FALSE)))</f>
        <v/>
      </c>
    </row>
    <row r="398" spans="1:7" ht="20.25" customHeight="1" x14ac:dyDescent="0.25">
      <c r="A398" s="27"/>
      <c r="B398" s="27"/>
      <c r="C398" s="28"/>
      <c r="D398" s="28"/>
      <c r="F398" t="str">
        <f>IF(A398="","",(VLOOKUP(A398,'🧱 Plan comptable source'!A:E,4,FALSE)))</f>
        <v/>
      </c>
      <c r="G398" t="str">
        <f>IF(A398="","",(VLOOKUP(A398,'🧱 Plan comptable source'!A:E,5,FALSE)))</f>
        <v/>
      </c>
    </row>
    <row r="399" spans="1:7" ht="20.25" customHeight="1" x14ac:dyDescent="0.25">
      <c r="A399" s="27"/>
      <c r="B399" s="27"/>
      <c r="C399" s="28"/>
      <c r="D399" s="28"/>
      <c r="F399" t="str">
        <f>IF(A399="","",(VLOOKUP(A399,'🧱 Plan comptable source'!A:E,4,FALSE)))</f>
        <v/>
      </c>
      <c r="G399" t="str">
        <f>IF(A399="","",(VLOOKUP(A399,'🧱 Plan comptable source'!A:E,5,FALSE)))</f>
        <v/>
      </c>
    </row>
    <row r="400" spans="1:7" ht="20.25" customHeight="1" x14ac:dyDescent="0.25">
      <c r="A400" s="27"/>
      <c r="B400" s="27"/>
      <c r="C400" s="28"/>
      <c r="D400" s="28"/>
      <c r="F400" t="str">
        <f>IF(A400="","",(VLOOKUP(A400,'🧱 Plan comptable source'!A:E,4,FALSE)))</f>
        <v/>
      </c>
      <c r="G400" t="str">
        <f>IF(A400="","",(VLOOKUP(A400,'🧱 Plan comptable source'!A:E,5,FALSE)))</f>
        <v/>
      </c>
    </row>
    <row r="401" spans="1:7" ht="20.25" customHeight="1" x14ac:dyDescent="0.25">
      <c r="A401" s="27"/>
      <c r="B401" s="27"/>
      <c r="C401" s="28"/>
      <c r="D401" s="28"/>
      <c r="F401" t="str">
        <f>IF(A401="","",(VLOOKUP(A401,'🧱 Plan comptable source'!A:E,4,FALSE)))</f>
        <v/>
      </c>
      <c r="G401" t="str">
        <f>IF(A401="","",(VLOOKUP(A401,'🧱 Plan comptable source'!A:E,5,FALSE)))</f>
        <v/>
      </c>
    </row>
    <row r="402" spans="1:7" ht="20.25" customHeight="1" x14ac:dyDescent="0.25">
      <c r="A402" s="27"/>
      <c r="B402" s="27"/>
      <c r="C402" s="28"/>
      <c r="D402" s="28"/>
      <c r="F402" t="str">
        <f>IF(A402="","",(VLOOKUP(A402,'🧱 Plan comptable source'!A:E,4,FALSE)))</f>
        <v/>
      </c>
      <c r="G402" t="str">
        <f>IF(A402="","",(VLOOKUP(A402,'🧱 Plan comptable source'!A:E,5,FALSE)))</f>
        <v/>
      </c>
    </row>
    <row r="403" spans="1:7" ht="20.25" customHeight="1" x14ac:dyDescent="0.25">
      <c r="A403" s="27"/>
      <c r="B403" s="27"/>
      <c r="C403" s="28"/>
      <c r="D403" s="28"/>
      <c r="F403" t="str">
        <f>IF(A403="","",(VLOOKUP(A403,'🧱 Plan comptable source'!A:E,4,FALSE)))</f>
        <v/>
      </c>
      <c r="G403" t="str">
        <f>IF(A403="","",(VLOOKUP(A403,'🧱 Plan comptable source'!A:E,5,FALSE)))</f>
        <v/>
      </c>
    </row>
    <row r="404" spans="1:7" ht="20.25" customHeight="1" x14ac:dyDescent="0.25">
      <c r="A404" s="27"/>
      <c r="B404" s="27"/>
      <c r="C404" s="28"/>
      <c r="D404" s="28"/>
      <c r="F404" t="str">
        <f>IF(A404="","",(VLOOKUP(A404,'🧱 Plan comptable source'!A:E,4,FALSE)))</f>
        <v/>
      </c>
      <c r="G404" t="str">
        <f>IF(A404="","",(VLOOKUP(A404,'🧱 Plan comptable source'!A:E,5,FALSE)))</f>
        <v/>
      </c>
    </row>
    <row r="405" spans="1:7" ht="20.25" customHeight="1" x14ac:dyDescent="0.25">
      <c r="A405" s="27"/>
      <c r="B405" s="27"/>
      <c r="C405" s="28"/>
      <c r="D405" s="28"/>
      <c r="F405" t="str">
        <f>IF(A405="","",(VLOOKUP(A405,'🧱 Plan comptable source'!A:E,4,FALSE)))</f>
        <v/>
      </c>
      <c r="G405" t="str">
        <f>IF(A405="","",(VLOOKUP(A405,'🧱 Plan comptable source'!A:E,5,FALSE)))</f>
        <v/>
      </c>
    </row>
    <row r="406" spans="1:7" ht="20.25" customHeight="1" x14ac:dyDescent="0.25">
      <c r="A406" s="27"/>
      <c r="B406" s="27"/>
      <c r="C406" s="28"/>
      <c r="D406" s="28"/>
      <c r="F406" t="str">
        <f>IF(A406="","",(VLOOKUP(A406,'🧱 Plan comptable source'!A:E,4,FALSE)))</f>
        <v/>
      </c>
      <c r="G406" t="str">
        <f>IF(A406="","",(VLOOKUP(A406,'🧱 Plan comptable source'!A:E,5,FALSE)))</f>
        <v/>
      </c>
    </row>
    <row r="407" spans="1:7" ht="20.25" customHeight="1" x14ac:dyDescent="0.25">
      <c r="A407" s="27"/>
      <c r="B407" s="27"/>
      <c r="C407" s="28"/>
      <c r="D407" s="28"/>
      <c r="F407" t="str">
        <f>IF(A407="","",(VLOOKUP(A407,'🧱 Plan comptable source'!A:E,4,FALSE)))</f>
        <v/>
      </c>
      <c r="G407" t="str">
        <f>IF(A407="","",(VLOOKUP(A407,'🧱 Plan comptable source'!A:E,5,FALSE)))</f>
        <v/>
      </c>
    </row>
    <row r="408" spans="1:7" ht="20.25" customHeight="1" x14ac:dyDescent="0.25">
      <c r="A408" s="27"/>
      <c r="B408" s="27"/>
      <c r="C408" s="28"/>
      <c r="D408" s="28"/>
      <c r="F408" t="str">
        <f>IF(A408="","",(VLOOKUP(A408,'🧱 Plan comptable source'!A:E,4,FALSE)))</f>
        <v/>
      </c>
      <c r="G408" t="str">
        <f>IF(A408="","",(VLOOKUP(A408,'🧱 Plan comptable source'!A:E,5,FALSE)))</f>
        <v/>
      </c>
    </row>
    <row r="409" spans="1:7" ht="20.25" customHeight="1" x14ac:dyDescent="0.25">
      <c r="A409" s="27"/>
      <c r="B409" s="27"/>
      <c r="C409" s="28"/>
      <c r="D409" s="28"/>
      <c r="F409" t="str">
        <f>IF(A409="","",(VLOOKUP(A409,'🧱 Plan comptable source'!A:E,4,FALSE)))</f>
        <v/>
      </c>
      <c r="G409" t="str">
        <f>IF(A409="","",(VLOOKUP(A409,'🧱 Plan comptable source'!A:E,5,FALSE)))</f>
        <v/>
      </c>
    </row>
    <row r="410" spans="1:7" ht="20.25" customHeight="1" x14ac:dyDescent="0.25">
      <c r="A410" s="27"/>
      <c r="B410" s="27"/>
      <c r="C410" s="28"/>
      <c r="D410" s="28"/>
      <c r="F410" t="str">
        <f>IF(A410="","",(VLOOKUP(A410,'🧱 Plan comptable source'!A:E,4,FALSE)))</f>
        <v/>
      </c>
      <c r="G410" t="str">
        <f>IF(A410="","",(VLOOKUP(A410,'🧱 Plan comptable source'!A:E,5,FALSE)))</f>
        <v/>
      </c>
    </row>
    <row r="411" spans="1:7" ht="20.25" customHeight="1" x14ac:dyDescent="0.25">
      <c r="A411" s="27"/>
      <c r="B411" s="27"/>
      <c r="C411" s="28"/>
      <c r="D411" s="28"/>
      <c r="F411" t="str">
        <f>IF(A411="","",(VLOOKUP(A411,'🧱 Plan comptable source'!A:E,4,FALSE)))</f>
        <v/>
      </c>
      <c r="G411" t="str">
        <f>IF(A411="","",(VLOOKUP(A411,'🧱 Plan comptable source'!A:E,5,FALSE)))</f>
        <v/>
      </c>
    </row>
    <row r="412" spans="1:7" ht="20.25" customHeight="1" x14ac:dyDescent="0.25">
      <c r="A412" s="27"/>
      <c r="B412" s="27"/>
      <c r="C412" s="28"/>
      <c r="D412" s="28"/>
      <c r="F412" t="str">
        <f>IF(A412="","",(VLOOKUP(A412,'🧱 Plan comptable source'!A:E,4,FALSE)))</f>
        <v/>
      </c>
      <c r="G412" t="str">
        <f>IF(A412="","",(VLOOKUP(A412,'🧱 Plan comptable source'!A:E,5,FALSE)))</f>
        <v/>
      </c>
    </row>
    <row r="413" spans="1:7" ht="20.25" customHeight="1" x14ac:dyDescent="0.25">
      <c r="A413" s="27"/>
      <c r="B413" s="27"/>
      <c r="C413" s="28"/>
      <c r="D413" s="28"/>
      <c r="F413" t="str">
        <f>IF(A413="","",(VLOOKUP(A413,'🧱 Plan comptable source'!A:E,4,FALSE)))</f>
        <v/>
      </c>
      <c r="G413" t="str">
        <f>IF(A413="","",(VLOOKUP(A413,'🧱 Plan comptable source'!A:E,5,FALSE)))</f>
        <v/>
      </c>
    </row>
    <row r="414" spans="1:7" ht="20.25" customHeight="1" x14ac:dyDescent="0.25">
      <c r="A414" s="27"/>
      <c r="B414" s="27"/>
      <c r="C414" s="28"/>
      <c r="D414" s="28"/>
      <c r="F414" t="str">
        <f>IF(A414="","",(VLOOKUP(A414,'🧱 Plan comptable source'!A:E,4,FALSE)))</f>
        <v/>
      </c>
      <c r="G414" t="str">
        <f>IF(A414="","",(VLOOKUP(A414,'🧱 Plan comptable source'!A:E,5,FALSE)))</f>
        <v/>
      </c>
    </row>
    <row r="415" spans="1:7" ht="20.25" customHeight="1" x14ac:dyDescent="0.25">
      <c r="A415" s="27"/>
      <c r="B415" s="27"/>
      <c r="C415" s="28"/>
      <c r="D415" s="28"/>
      <c r="F415" t="str">
        <f>IF(A415="","",(VLOOKUP(A415,'🧱 Plan comptable source'!A:E,4,FALSE)))</f>
        <v/>
      </c>
      <c r="G415" t="str">
        <f>IF(A415="","",(VLOOKUP(A415,'🧱 Plan comptable source'!A:E,5,FALSE)))</f>
        <v/>
      </c>
    </row>
    <row r="416" spans="1:7" ht="20.25" customHeight="1" x14ac:dyDescent="0.25">
      <c r="A416" s="27"/>
      <c r="B416" s="27"/>
      <c r="C416" s="28"/>
      <c r="D416" s="28"/>
      <c r="F416" t="str">
        <f>IF(A416="","",(VLOOKUP(A416,'🧱 Plan comptable source'!A:E,4,FALSE)))</f>
        <v/>
      </c>
      <c r="G416" t="str">
        <f>IF(A416="","",(VLOOKUP(A416,'🧱 Plan comptable source'!A:E,5,FALSE)))</f>
        <v/>
      </c>
    </row>
    <row r="417" spans="1:7" ht="20.25" customHeight="1" x14ac:dyDescent="0.25">
      <c r="A417" s="27"/>
      <c r="B417" s="27"/>
      <c r="C417" s="28"/>
      <c r="D417" s="28"/>
      <c r="F417" t="str">
        <f>IF(A417="","",(VLOOKUP(A417,'🧱 Plan comptable source'!A:E,4,FALSE)))</f>
        <v/>
      </c>
      <c r="G417" t="str">
        <f>IF(A417="","",(VLOOKUP(A417,'🧱 Plan comptable source'!A:E,5,FALSE)))</f>
        <v/>
      </c>
    </row>
    <row r="418" spans="1:7" ht="20.25" customHeight="1" x14ac:dyDescent="0.25">
      <c r="A418" s="27"/>
      <c r="B418" s="27"/>
      <c r="C418" s="28"/>
      <c r="D418" s="28"/>
      <c r="F418" t="str">
        <f>IF(A418="","",(VLOOKUP(A418,'🧱 Plan comptable source'!A:E,4,FALSE)))</f>
        <v/>
      </c>
      <c r="G418" t="str">
        <f>IF(A418="","",(VLOOKUP(A418,'🧱 Plan comptable source'!A:E,5,FALSE)))</f>
        <v/>
      </c>
    </row>
    <row r="419" spans="1:7" ht="20.25" customHeight="1" x14ac:dyDescent="0.25">
      <c r="A419" s="27"/>
      <c r="B419" s="27"/>
      <c r="C419" s="28"/>
      <c r="D419" s="28"/>
      <c r="F419" t="str">
        <f>IF(A419="","",(VLOOKUP(A419,'🧱 Plan comptable source'!A:E,4,FALSE)))</f>
        <v/>
      </c>
      <c r="G419" t="str">
        <f>IF(A419="","",(VLOOKUP(A419,'🧱 Plan comptable source'!A:E,5,FALSE)))</f>
        <v/>
      </c>
    </row>
    <row r="420" spans="1:7" ht="20.25" customHeight="1" x14ac:dyDescent="0.25">
      <c r="A420" s="27"/>
      <c r="B420" s="27"/>
      <c r="C420" s="28"/>
      <c r="D420" s="28"/>
      <c r="F420" t="str">
        <f>IF(A420="","",(VLOOKUP(A420,'🧱 Plan comptable source'!A:E,4,FALSE)))</f>
        <v/>
      </c>
      <c r="G420" t="str">
        <f>IF(A420="","",(VLOOKUP(A420,'🧱 Plan comptable source'!A:E,5,FALSE)))</f>
        <v/>
      </c>
    </row>
    <row r="421" spans="1:7" ht="20.25" customHeight="1" x14ac:dyDescent="0.25">
      <c r="A421" s="27"/>
      <c r="B421" s="27"/>
      <c r="C421" s="28"/>
      <c r="D421" s="28"/>
      <c r="F421" t="str">
        <f>IF(A421="","",(VLOOKUP(A421,'🧱 Plan comptable source'!A:E,4,FALSE)))</f>
        <v/>
      </c>
      <c r="G421" t="str">
        <f>IF(A421="","",(VLOOKUP(A421,'🧱 Plan comptable source'!A:E,5,FALSE)))</f>
        <v/>
      </c>
    </row>
    <row r="422" spans="1:7" ht="20.25" customHeight="1" x14ac:dyDescent="0.25">
      <c r="A422" s="27"/>
      <c r="B422" s="27"/>
      <c r="C422" s="28"/>
      <c r="D422" s="28"/>
      <c r="F422" t="str">
        <f>IF(A422="","",(VLOOKUP(A422,'🧱 Plan comptable source'!A:E,4,FALSE)))</f>
        <v/>
      </c>
      <c r="G422" t="str">
        <f>IF(A422="","",(VLOOKUP(A422,'🧱 Plan comptable source'!A:E,5,FALSE)))</f>
        <v/>
      </c>
    </row>
    <row r="423" spans="1:7" ht="20.25" customHeight="1" x14ac:dyDescent="0.25">
      <c r="A423" s="27"/>
      <c r="B423" s="27"/>
      <c r="C423" s="28"/>
      <c r="D423" s="28"/>
      <c r="F423" t="str">
        <f>IF(A423="","",(VLOOKUP(A423,'🧱 Plan comptable source'!A:E,4,FALSE)))</f>
        <v/>
      </c>
      <c r="G423" t="str">
        <f>IF(A423="","",(VLOOKUP(A423,'🧱 Plan comptable source'!A:E,5,FALSE)))</f>
        <v/>
      </c>
    </row>
    <row r="424" spans="1:7" ht="20.25" customHeight="1" x14ac:dyDescent="0.25">
      <c r="A424" s="27"/>
      <c r="B424" s="27"/>
      <c r="C424" s="28"/>
      <c r="D424" s="28"/>
      <c r="F424" t="str">
        <f>IF(A424="","",(VLOOKUP(A424,'🧱 Plan comptable source'!A:E,4,FALSE)))</f>
        <v/>
      </c>
      <c r="G424" t="str">
        <f>IF(A424="","",(VLOOKUP(A424,'🧱 Plan comptable source'!A:E,5,FALSE)))</f>
        <v/>
      </c>
    </row>
    <row r="425" spans="1:7" ht="20.25" customHeight="1" x14ac:dyDescent="0.25">
      <c r="A425" s="27"/>
      <c r="B425" s="27"/>
      <c r="C425" s="28"/>
      <c r="D425" s="28"/>
      <c r="F425" t="str">
        <f>IF(A425="","",(VLOOKUP(A425,'🧱 Plan comptable source'!A:E,4,FALSE)))</f>
        <v/>
      </c>
      <c r="G425" t="str">
        <f>IF(A425="","",(VLOOKUP(A425,'🧱 Plan comptable source'!A:E,5,FALSE)))</f>
        <v/>
      </c>
    </row>
    <row r="426" spans="1:7" ht="20.25" customHeight="1" x14ac:dyDescent="0.25">
      <c r="A426" s="27"/>
      <c r="B426" s="27"/>
      <c r="C426" s="28"/>
      <c r="D426" s="28"/>
      <c r="F426" t="str">
        <f>IF(A426="","",(VLOOKUP(A426,'🧱 Plan comptable source'!A:E,4,FALSE)))</f>
        <v/>
      </c>
      <c r="G426" t="str">
        <f>IF(A426="","",(VLOOKUP(A426,'🧱 Plan comptable source'!A:E,5,FALSE)))</f>
        <v/>
      </c>
    </row>
    <row r="427" spans="1:7" ht="20.25" customHeight="1" x14ac:dyDescent="0.25">
      <c r="A427" s="27"/>
      <c r="B427" s="27"/>
      <c r="C427" s="28"/>
      <c r="D427" s="28"/>
      <c r="F427" t="str">
        <f>IF(A427="","",(VLOOKUP(A427,'🧱 Plan comptable source'!A:E,4,FALSE)))</f>
        <v/>
      </c>
      <c r="G427" t="str">
        <f>IF(A427="","",(VLOOKUP(A427,'🧱 Plan comptable source'!A:E,5,FALSE)))</f>
        <v/>
      </c>
    </row>
    <row r="428" spans="1:7" ht="20.25" customHeight="1" x14ac:dyDescent="0.25">
      <c r="A428" s="27"/>
      <c r="B428" s="27"/>
      <c r="C428" s="28"/>
      <c r="D428" s="28"/>
      <c r="F428" t="str">
        <f>IF(A428="","",(VLOOKUP(A428,'🧱 Plan comptable source'!A:E,4,FALSE)))</f>
        <v/>
      </c>
      <c r="G428" t="str">
        <f>IF(A428="","",(VLOOKUP(A428,'🧱 Plan comptable source'!A:E,5,FALSE)))</f>
        <v/>
      </c>
    </row>
    <row r="429" spans="1:7" ht="20.25" customHeight="1" x14ac:dyDescent="0.25">
      <c r="A429" s="27"/>
      <c r="B429" s="27"/>
      <c r="C429" s="28"/>
      <c r="D429" s="28"/>
      <c r="F429" t="str">
        <f>IF(A429="","",(VLOOKUP(A429,'🧱 Plan comptable source'!A:E,4,FALSE)))</f>
        <v/>
      </c>
      <c r="G429" t="str">
        <f>IF(A429="","",(VLOOKUP(A429,'🧱 Plan comptable source'!A:E,5,FALSE)))</f>
        <v/>
      </c>
    </row>
    <row r="430" spans="1:7" ht="20.25" customHeight="1" x14ac:dyDescent="0.25">
      <c r="A430" s="27"/>
      <c r="B430" s="27"/>
      <c r="C430" s="28"/>
      <c r="D430" s="28"/>
      <c r="F430" t="str">
        <f>IF(A430="","",(VLOOKUP(A430,'🧱 Plan comptable source'!A:E,4,FALSE)))</f>
        <v/>
      </c>
      <c r="G430" t="str">
        <f>IF(A430="","",(VLOOKUP(A430,'🧱 Plan comptable source'!A:E,5,FALSE)))</f>
        <v/>
      </c>
    </row>
    <row r="431" spans="1:7" ht="20.25" customHeight="1" x14ac:dyDescent="0.25">
      <c r="A431" s="27"/>
      <c r="B431" s="27"/>
      <c r="C431" s="28"/>
      <c r="D431" s="28"/>
      <c r="F431" t="str">
        <f>IF(A431="","",(VLOOKUP(A431,'🧱 Plan comptable source'!A:E,4,FALSE)))</f>
        <v/>
      </c>
      <c r="G431" t="str">
        <f>IF(A431="","",(VLOOKUP(A431,'🧱 Plan comptable source'!A:E,5,FALSE)))</f>
        <v/>
      </c>
    </row>
    <row r="432" spans="1:7" ht="20.25" customHeight="1" x14ac:dyDescent="0.25">
      <c r="A432" s="27"/>
      <c r="B432" s="27"/>
      <c r="C432" s="28"/>
      <c r="D432" s="28"/>
      <c r="F432" t="str">
        <f>IF(A432="","",(VLOOKUP(A432,'🧱 Plan comptable source'!A:E,4,FALSE)))</f>
        <v/>
      </c>
      <c r="G432" t="str">
        <f>IF(A432="","",(VLOOKUP(A432,'🧱 Plan comptable source'!A:E,5,FALSE)))</f>
        <v/>
      </c>
    </row>
    <row r="433" spans="1:7" ht="20.25" customHeight="1" x14ac:dyDescent="0.25">
      <c r="A433" s="27"/>
      <c r="B433" s="27"/>
      <c r="C433" s="28"/>
      <c r="D433" s="28"/>
      <c r="F433" t="str">
        <f>IF(A433="","",(VLOOKUP(A433,'🧱 Plan comptable source'!A:E,4,FALSE)))</f>
        <v/>
      </c>
      <c r="G433" t="str">
        <f>IF(A433="","",(VLOOKUP(A433,'🧱 Plan comptable source'!A:E,5,FALSE)))</f>
        <v/>
      </c>
    </row>
    <row r="434" spans="1:7" ht="20.25" customHeight="1" x14ac:dyDescent="0.25">
      <c r="A434" s="27"/>
      <c r="B434" s="27"/>
      <c r="C434" s="28"/>
      <c r="D434" s="28"/>
      <c r="F434" t="str">
        <f>IF(A434="","",(VLOOKUP(A434,'🧱 Plan comptable source'!A:E,4,FALSE)))</f>
        <v/>
      </c>
      <c r="G434" t="str">
        <f>IF(A434="","",(VLOOKUP(A434,'🧱 Plan comptable source'!A:E,5,FALSE)))</f>
        <v/>
      </c>
    </row>
    <row r="435" spans="1:7" ht="20.25" customHeight="1" x14ac:dyDescent="0.25">
      <c r="A435" s="27"/>
      <c r="B435" s="27"/>
      <c r="C435" s="28"/>
      <c r="D435" s="28"/>
      <c r="F435" t="str">
        <f>IF(A435="","",(VLOOKUP(A435,'🧱 Plan comptable source'!A:E,4,FALSE)))</f>
        <v/>
      </c>
      <c r="G435" t="str">
        <f>IF(A435="","",(VLOOKUP(A435,'🧱 Plan comptable source'!A:E,5,FALSE)))</f>
        <v/>
      </c>
    </row>
    <row r="436" spans="1:7" ht="20.25" customHeight="1" x14ac:dyDescent="0.25">
      <c r="A436" s="27"/>
      <c r="B436" s="27"/>
      <c r="C436" s="28"/>
      <c r="D436" s="28"/>
      <c r="F436" t="str">
        <f>IF(A436="","",(VLOOKUP(A436,'🧱 Plan comptable source'!A:E,4,FALSE)))</f>
        <v/>
      </c>
      <c r="G436" t="str">
        <f>IF(A436="","",(VLOOKUP(A436,'🧱 Plan comptable source'!A:E,5,FALSE)))</f>
        <v/>
      </c>
    </row>
    <row r="437" spans="1:7" ht="20.25" customHeight="1" x14ac:dyDescent="0.25">
      <c r="A437" s="27"/>
      <c r="B437" s="27"/>
      <c r="C437" s="28"/>
      <c r="D437" s="28"/>
      <c r="F437" t="str">
        <f>IF(A437="","",(VLOOKUP(A437,'🧱 Plan comptable source'!A:E,4,FALSE)))</f>
        <v/>
      </c>
      <c r="G437" t="str">
        <f>IF(A437="","",(VLOOKUP(A437,'🧱 Plan comptable source'!A:E,5,FALSE)))</f>
        <v/>
      </c>
    </row>
    <row r="438" spans="1:7" ht="20.25" customHeight="1" x14ac:dyDescent="0.25">
      <c r="A438" s="27"/>
      <c r="B438" s="27"/>
      <c r="C438" s="28"/>
      <c r="D438" s="28"/>
      <c r="F438" t="str">
        <f>IF(A438="","",(VLOOKUP(A438,'🧱 Plan comptable source'!A:E,4,FALSE)))</f>
        <v/>
      </c>
      <c r="G438" t="str">
        <f>IF(A438="","",(VLOOKUP(A438,'🧱 Plan comptable source'!A:E,5,FALSE)))</f>
        <v/>
      </c>
    </row>
    <row r="439" spans="1:7" ht="20.25" customHeight="1" x14ac:dyDescent="0.25">
      <c r="A439" s="27"/>
      <c r="B439" s="27"/>
      <c r="C439" s="28"/>
      <c r="D439" s="28"/>
      <c r="F439" t="str">
        <f>IF(A439="","",(VLOOKUP(A439,'🧱 Plan comptable source'!A:E,4,FALSE)))</f>
        <v/>
      </c>
      <c r="G439" t="str">
        <f>IF(A439="","",(VLOOKUP(A439,'🧱 Plan comptable source'!A:E,5,FALSE)))</f>
        <v/>
      </c>
    </row>
    <row r="440" spans="1:7" ht="20.25" customHeight="1" x14ac:dyDescent="0.25">
      <c r="A440" s="27"/>
      <c r="B440" s="27"/>
      <c r="C440" s="28"/>
      <c r="D440" s="28"/>
      <c r="F440" t="str">
        <f>IF(A440="","",(VLOOKUP(A440,'🧱 Plan comptable source'!A:E,4,FALSE)))</f>
        <v/>
      </c>
      <c r="G440" t="str">
        <f>IF(A440="","",(VLOOKUP(A440,'🧱 Plan comptable source'!A:E,5,FALSE)))</f>
        <v/>
      </c>
    </row>
    <row r="441" spans="1:7" ht="20.25" customHeight="1" x14ac:dyDescent="0.25">
      <c r="A441" s="27"/>
      <c r="B441" s="27"/>
      <c r="C441" s="28"/>
      <c r="D441" s="28"/>
      <c r="F441" t="str">
        <f>IF(A441="","",(VLOOKUP(A441,'🧱 Plan comptable source'!A:E,4,FALSE)))</f>
        <v/>
      </c>
      <c r="G441" t="str">
        <f>IF(A441="","",(VLOOKUP(A441,'🧱 Plan comptable source'!A:E,5,FALSE)))</f>
        <v/>
      </c>
    </row>
    <row r="442" spans="1:7" ht="20.25" customHeight="1" x14ac:dyDescent="0.25">
      <c r="A442" s="27"/>
      <c r="B442" s="27"/>
      <c r="C442" s="28"/>
      <c r="D442" s="28"/>
      <c r="F442" t="str">
        <f>IF(A442="","",(VLOOKUP(A442,'🧱 Plan comptable source'!A:E,4,FALSE)))</f>
        <v/>
      </c>
      <c r="G442" t="str">
        <f>IF(A442="","",(VLOOKUP(A442,'🧱 Plan comptable source'!A:E,5,FALSE)))</f>
        <v/>
      </c>
    </row>
    <row r="443" spans="1:7" ht="20.25" customHeight="1" x14ac:dyDescent="0.25">
      <c r="A443" s="27"/>
      <c r="B443" s="27"/>
      <c r="C443" s="28"/>
      <c r="D443" s="28"/>
      <c r="F443" t="str">
        <f>IF(A443="","",(VLOOKUP(A443,'🧱 Plan comptable source'!A:E,4,FALSE)))</f>
        <v/>
      </c>
      <c r="G443" t="str">
        <f>IF(A443="","",(VLOOKUP(A443,'🧱 Plan comptable source'!A:E,5,FALSE)))</f>
        <v/>
      </c>
    </row>
    <row r="444" spans="1:7" ht="20.25" customHeight="1" x14ac:dyDescent="0.25">
      <c r="A444" s="27"/>
      <c r="B444" s="27"/>
      <c r="C444" s="28"/>
      <c r="D444" s="28"/>
      <c r="F444" t="str">
        <f>IF(A444="","",(VLOOKUP(A444,'🧱 Plan comptable source'!A:E,4,FALSE)))</f>
        <v/>
      </c>
      <c r="G444" t="str">
        <f>IF(A444="","",(VLOOKUP(A444,'🧱 Plan comptable source'!A:E,5,FALSE)))</f>
        <v/>
      </c>
    </row>
    <row r="445" spans="1:7" ht="20.25" customHeight="1" x14ac:dyDescent="0.25">
      <c r="A445" s="27"/>
      <c r="B445" s="27"/>
      <c r="C445" s="28"/>
      <c r="D445" s="28"/>
      <c r="F445" t="str">
        <f>IF(A445="","",(VLOOKUP(A445,'🧱 Plan comptable source'!A:E,4,FALSE)))</f>
        <v/>
      </c>
      <c r="G445" t="str">
        <f>IF(A445="","",(VLOOKUP(A445,'🧱 Plan comptable source'!A:E,5,FALSE)))</f>
        <v/>
      </c>
    </row>
    <row r="446" spans="1:7" ht="20.25" customHeight="1" x14ac:dyDescent="0.25">
      <c r="A446" s="27"/>
      <c r="B446" s="27"/>
      <c r="C446" s="28"/>
      <c r="D446" s="28"/>
      <c r="F446" t="str">
        <f>IF(A446="","",(VLOOKUP(A446,'🧱 Plan comptable source'!A:E,4,FALSE)))</f>
        <v/>
      </c>
      <c r="G446" t="str">
        <f>IF(A446="","",(VLOOKUP(A446,'🧱 Plan comptable source'!A:E,5,FALSE)))</f>
        <v/>
      </c>
    </row>
    <row r="447" spans="1:7" ht="20.25" customHeight="1" x14ac:dyDescent="0.25">
      <c r="A447" s="27"/>
      <c r="B447" s="27"/>
      <c r="C447" s="28"/>
      <c r="D447" s="28"/>
      <c r="F447" t="str">
        <f>IF(A447="","",(VLOOKUP(A447,'🧱 Plan comptable source'!A:E,4,FALSE)))</f>
        <v/>
      </c>
      <c r="G447" t="str">
        <f>IF(A447="","",(VLOOKUP(A447,'🧱 Plan comptable source'!A:E,5,FALSE)))</f>
        <v/>
      </c>
    </row>
    <row r="448" spans="1:7" ht="20.25" customHeight="1" x14ac:dyDescent="0.25">
      <c r="A448" s="27"/>
      <c r="B448" s="27"/>
      <c r="C448" s="28"/>
      <c r="D448" s="28"/>
      <c r="F448" t="str">
        <f>IF(A448="","",(VLOOKUP(A448,'🧱 Plan comptable source'!A:E,4,FALSE)))</f>
        <v/>
      </c>
      <c r="G448" t="str">
        <f>IF(A448="","",(VLOOKUP(A448,'🧱 Plan comptable source'!A:E,5,FALSE)))</f>
        <v/>
      </c>
    </row>
    <row r="449" spans="1:7" ht="20.25" customHeight="1" x14ac:dyDescent="0.25">
      <c r="A449" s="27"/>
      <c r="B449" s="27"/>
      <c r="C449" s="28"/>
      <c r="D449" s="28"/>
      <c r="F449" t="str">
        <f>IF(A449="","",(VLOOKUP(A449,'🧱 Plan comptable source'!A:E,4,FALSE)))</f>
        <v/>
      </c>
      <c r="G449" t="str">
        <f>IF(A449="","",(VLOOKUP(A449,'🧱 Plan comptable source'!A:E,5,FALSE)))</f>
        <v/>
      </c>
    </row>
    <row r="450" spans="1:7" ht="20.25" customHeight="1" x14ac:dyDescent="0.25">
      <c r="A450" s="27"/>
      <c r="B450" s="27"/>
      <c r="C450" s="28"/>
      <c r="D450" s="28"/>
      <c r="F450" t="str">
        <f>IF(A450="","",(VLOOKUP(A450,'🧱 Plan comptable source'!A:E,4,FALSE)))</f>
        <v/>
      </c>
      <c r="G450" t="str">
        <f>IF(A450="","",(VLOOKUP(A450,'🧱 Plan comptable source'!A:E,5,FALSE)))</f>
        <v/>
      </c>
    </row>
    <row r="451" spans="1:7" ht="20.25" customHeight="1" x14ac:dyDescent="0.25">
      <c r="A451" s="27"/>
      <c r="B451" s="27"/>
      <c r="C451" s="28"/>
      <c r="D451" s="28"/>
      <c r="F451" t="str">
        <f>IF(A451="","",(VLOOKUP(A451,'🧱 Plan comptable source'!A:E,4,FALSE)))</f>
        <v/>
      </c>
      <c r="G451" t="str">
        <f>IF(A451="","",(VLOOKUP(A451,'🧱 Plan comptable source'!A:E,5,FALSE)))</f>
        <v/>
      </c>
    </row>
    <row r="452" spans="1:7" ht="20.25" customHeight="1" x14ac:dyDescent="0.25">
      <c r="A452" s="27"/>
      <c r="B452" s="27"/>
      <c r="C452" s="28"/>
      <c r="D452" s="28"/>
      <c r="F452" t="str">
        <f>IF(A452="","",(VLOOKUP(A452,'🧱 Plan comptable source'!A:E,4,FALSE)))</f>
        <v/>
      </c>
      <c r="G452" t="str">
        <f>IF(A452="","",(VLOOKUP(A452,'🧱 Plan comptable source'!A:E,5,FALSE)))</f>
        <v/>
      </c>
    </row>
    <row r="453" spans="1:7" ht="20.25" customHeight="1" x14ac:dyDescent="0.25">
      <c r="A453" s="27"/>
      <c r="B453" s="27"/>
      <c r="C453" s="28"/>
      <c r="D453" s="28"/>
      <c r="F453" t="str">
        <f>IF(A453="","",(VLOOKUP(A453,'🧱 Plan comptable source'!A:E,4,FALSE)))</f>
        <v/>
      </c>
      <c r="G453" t="str">
        <f>IF(A453="","",(VLOOKUP(A453,'🧱 Plan comptable source'!A:E,5,FALSE)))</f>
        <v/>
      </c>
    </row>
    <row r="454" spans="1:7" ht="20.25" customHeight="1" x14ac:dyDescent="0.25">
      <c r="A454" s="27"/>
      <c r="B454" s="27"/>
      <c r="C454" s="28"/>
      <c r="D454" s="28"/>
      <c r="F454" t="str">
        <f>IF(A454="","",(VLOOKUP(A454,'🧱 Plan comptable source'!A:E,4,FALSE)))</f>
        <v/>
      </c>
      <c r="G454" t="str">
        <f>IF(A454="","",(VLOOKUP(A454,'🧱 Plan comptable source'!A:E,5,FALSE)))</f>
        <v/>
      </c>
    </row>
    <row r="455" spans="1:7" ht="20.25" customHeight="1" x14ac:dyDescent="0.25">
      <c r="A455" s="27"/>
      <c r="B455" s="27"/>
      <c r="C455" s="28"/>
      <c r="D455" s="28"/>
      <c r="F455" t="str">
        <f>IF(A455="","",(VLOOKUP(A455,'🧱 Plan comptable source'!A:E,4,FALSE)))</f>
        <v/>
      </c>
      <c r="G455" t="str">
        <f>IF(A455="","",(VLOOKUP(A455,'🧱 Plan comptable source'!A:E,5,FALSE)))</f>
        <v/>
      </c>
    </row>
    <row r="456" spans="1:7" ht="20.25" customHeight="1" x14ac:dyDescent="0.25">
      <c r="A456" s="27"/>
      <c r="B456" s="27"/>
      <c r="C456" s="28"/>
      <c r="D456" s="28"/>
      <c r="F456" t="str">
        <f>IF(A456="","",(VLOOKUP(A456,'🧱 Plan comptable source'!A:E,4,FALSE)))</f>
        <v/>
      </c>
      <c r="G456" t="str">
        <f>IF(A456="","",(VLOOKUP(A456,'🧱 Plan comptable source'!A:E,5,FALSE)))</f>
        <v/>
      </c>
    </row>
    <row r="457" spans="1:7" ht="20.25" customHeight="1" x14ac:dyDescent="0.25">
      <c r="A457" s="27"/>
      <c r="B457" s="27"/>
      <c r="C457" s="28"/>
      <c r="D457" s="28"/>
      <c r="F457" t="str">
        <f>IF(A457="","",(VLOOKUP(A457,'🧱 Plan comptable source'!A:E,4,FALSE)))</f>
        <v/>
      </c>
      <c r="G457" t="str">
        <f>IF(A457="","",(VLOOKUP(A457,'🧱 Plan comptable source'!A:E,5,FALSE)))</f>
        <v/>
      </c>
    </row>
    <row r="458" spans="1:7" ht="20.25" customHeight="1" x14ac:dyDescent="0.25">
      <c r="A458" s="27"/>
      <c r="B458" s="27"/>
      <c r="C458" s="28"/>
      <c r="D458" s="28"/>
      <c r="F458" t="str">
        <f>IF(A458="","",(VLOOKUP(A458,'🧱 Plan comptable source'!A:E,4,FALSE)))</f>
        <v/>
      </c>
      <c r="G458" t="str">
        <f>IF(A458="","",(VLOOKUP(A458,'🧱 Plan comptable source'!A:E,5,FALSE)))</f>
        <v/>
      </c>
    </row>
    <row r="459" spans="1:7" ht="20.25" customHeight="1" x14ac:dyDescent="0.25">
      <c r="A459" s="27"/>
      <c r="B459" s="27"/>
      <c r="C459" s="28"/>
      <c r="D459" s="28"/>
      <c r="F459" t="str">
        <f>IF(A459="","",(VLOOKUP(A459,'🧱 Plan comptable source'!A:E,4,FALSE)))</f>
        <v/>
      </c>
      <c r="G459" t="str">
        <f>IF(A459="","",(VLOOKUP(A459,'🧱 Plan comptable source'!A:E,5,FALSE)))</f>
        <v/>
      </c>
    </row>
    <row r="460" spans="1:7" ht="20.25" customHeight="1" x14ac:dyDescent="0.25">
      <c r="A460" s="27"/>
      <c r="B460" s="27"/>
      <c r="C460" s="28"/>
      <c r="D460" s="28"/>
      <c r="F460" t="str">
        <f>IF(A460="","",(VLOOKUP(A460,'🧱 Plan comptable source'!A:E,4,FALSE)))</f>
        <v/>
      </c>
      <c r="G460" t="str">
        <f>IF(A460="","",(VLOOKUP(A460,'🧱 Plan comptable source'!A:E,5,FALSE)))</f>
        <v/>
      </c>
    </row>
    <row r="461" spans="1:7" ht="20.25" customHeight="1" x14ac:dyDescent="0.25">
      <c r="A461" s="27"/>
      <c r="B461" s="27"/>
      <c r="C461" s="28"/>
      <c r="D461" s="28"/>
      <c r="F461" t="str">
        <f>IF(A461="","",(VLOOKUP(A461,'🧱 Plan comptable source'!A:E,4,FALSE)))</f>
        <v/>
      </c>
      <c r="G461" t="str">
        <f>IF(A461="","",(VLOOKUP(A461,'🧱 Plan comptable source'!A:E,5,FALSE)))</f>
        <v/>
      </c>
    </row>
    <row r="462" spans="1:7" ht="20.25" customHeight="1" x14ac:dyDescent="0.25">
      <c r="A462" s="27"/>
      <c r="B462" s="27"/>
      <c r="C462" s="28"/>
      <c r="D462" s="28"/>
      <c r="F462" t="str">
        <f>IF(A462="","",(VLOOKUP(A462,'🧱 Plan comptable source'!A:E,4,FALSE)))</f>
        <v/>
      </c>
      <c r="G462" t="str">
        <f>IF(A462="","",(VLOOKUP(A462,'🧱 Plan comptable source'!A:E,5,FALSE)))</f>
        <v/>
      </c>
    </row>
    <row r="463" spans="1:7" ht="20.25" customHeight="1" x14ac:dyDescent="0.25">
      <c r="A463" s="27"/>
      <c r="B463" s="27"/>
      <c r="C463" s="28"/>
      <c r="D463" s="28"/>
      <c r="F463" t="str">
        <f>IF(A463="","",(VLOOKUP(A463,'🧱 Plan comptable source'!A:E,4,FALSE)))</f>
        <v/>
      </c>
      <c r="G463" t="str">
        <f>IF(A463="","",(VLOOKUP(A463,'🧱 Plan comptable source'!A:E,5,FALSE)))</f>
        <v/>
      </c>
    </row>
    <row r="464" spans="1:7" ht="20.25" customHeight="1" x14ac:dyDescent="0.25">
      <c r="A464" s="27"/>
      <c r="B464" s="27"/>
      <c r="C464" s="28"/>
      <c r="D464" s="28"/>
      <c r="F464" t="str">
        <f>IF(A464="","",(VLOOKUP(A464,'🧱 Plan comptable source'!A:E,4,FALSE)))</f>
        <v/>
      </c>
      <c r="G464" t="str">
        <f>IF(A464="","",(VLOOKUP(A464,'🧱 Plan comptable source'!A:E,5,FALSE)))</f>
        <v/>
      </c>
    </row>
    <row r="465" spans="1:7" ht="20.25" customHeight="1" x14ac:dyDescent="0.25">
      <c r="A465" s="27"/>
      <c r="B465" s="27"/>
      <c r="C465" s="28"/>
      <c r="D465" s="28"/>
      <c r="F465" t="str">
        <f>IF(A465="","",(VLOOKUP(A465,'🧱 Plan comptable source'!A:E,4,FALSE)))</f>
        <v/>
      </c>
      <c r="G465" t="str">
        <f>IF(A465="","",(VLOOKUP(A465,'🧱 Plan comptable source'!A:E,5,FALSE)))</f>
        <v/>
      </c>
    </row>
    <row r="466" spans="1:7" ht="20.25" customHeight="1" x14ac:dyDescent="0.25">
      <c r="A466" s="27"/>
      <c r="B466" s="27"/>
      <c r="C466" s="28"/>
      <c r="D466" s="28"/>
      <c r="F466" t="str">
        <f>IF(A466="","",(VLOOKUP(A466,'🧱 Plan comptable source'!A:E,4,FALSE)))</f>
        <v/>
      </c>
      <c r="G466" t="str">
        <f>IF(A466="","",(VLOOKUP(A466,'🧱 Plan comptable source'!A:E,5,FALSE)))</f>
        <v/>
      </c>
    </row>
    <row r="467" spans="1:7" ht="20.25" customHeight="1" x14ac:dyDescent="0.25">
      <c r="A467" s="27"/>
      <c r="B467" s="27"/>
      <c r="C467" s="28"/>
      <c r="D467" s="28"/>
      <c r="F467" t="str">
        <f>IF(A467="","",(VLOOKUP(A467,'🧱 Plan comptable source'!A:E,4,FALSE)))</f>
        <v/>
      </c>
      <c r="G467" t="str">
        <f>IF(A467="","",(VLOOKUP(A467,'🧱 Plan comptable source'!A:E,5,FALSE)))</f>
        <v/>
      </c>
    </row>
    <row r="468" spans="1:7" ht="20.25" customHeight="1" x14ac:dyDescent="0.25">
      <c r="A468" s="27"/>
      <c r="B468" s="27"/>
      <c r="C468" s="28"/>
      <c r="D468" s="28"/>
      <c r="F468" t="str">
        <f>IF(A468="","",(VLOOKUP(A468,'🧱 Plan comptable source'!A:E,4,FALSE)))</f>
        <v/>
      </c>
      <c r="G468" t="str">
        <f>IF(A468="","",(VLOOKUP(A468,'🧱 Plan comptable source'!A:E,5,FALSE)))</f>
        <v/>
      </c>
    </row>
    <row r="469" spans="1:7" ht="20.25" customHeight="1" x14ac:dyDescent="0.25">
      <c r="A469" s="27"/>
      <c r="B469" s="27"/>
      <c r="C469" s="28"/>
      <c r="D469" s="28"/>
      <c r="F469" t="str">
        <f>IF(A469="","",(VLOOKUP(A469,'🧱 Plan comptable source'!A:E,4,FALSE)))</f>
        <v/>
      </c>
      <c r="G469" t="str">
        <f>IF(A469="","",(VLOOKUP(A469,'🧱 Plan comptable source'!A:E,5,FALSE)))</f>
        <v/>
      </c>
    </row>
    <row r="470" spans="1:7" ht="20.25" customHeight="1" x14ac:dyDescent="0.25">
      <c r="A470" s="27"/>
      <c r="B470" s="27"/>
      <c r="C470" s="28"/>
      <c r="D470" s="28"/>
      <c r="F470" t="str">
        <f>IF(A470="","",(VLOOKUP(A470,'🧱 Plan comptable source'!A:E,4,FALSE)))</f>
        <v/>
      </c>
      <c r="G470" t="str">
        <f>IF(A470="","",(VLOOKUP(A470,'🧱 Plan comptable source'!A:E,5,FALSE)))</f>
        <v/>
      </c>
    </row>
    <row r="471" spans="1:7" ht="20.25" customHeight="1" x14ac:dyDescent="0.25">
      <c r="A471" s="27"/>
      <c r="B471" s="27"/>
      <c r="C471" s="28"/>
      <c r="D471" s="28"/>
      <c r="F471" t="str">
        <f>IF(A471="","",(VLOOKUP(A471,'🧱 Plan comptable source'!A:E,4,FALSE)))</f>
        <v/>
      </c>
      <c r="G471" t="str">
        <f>IF(A471="","",(VLOOKUP(A471,'🧱 Plan comptable source'!A:E,5,FALSE)))</f>
        <v/>
      </c>
    </row>
    <row r="472" spans="1:7" ht="20.25" customHeight="1" x14ac:dyDescent="0.25">
      <c r="A472" s="27"/>
      <c r="B472" s="27"/>
      <c r="C472" s="28"/>
      <c r="D472" s="28"/>
      <c r="F472" t="str">
        <f>IF(A472="","",(VLOOKUP(A472,'🧱 Plan comptable source'!A:E,4,FALSE)))</f>
        <v/>
      </c>
      <c r="G472" t="str">
        <f>IF(A472="","",(VLOOKUP(A472,'🧱 Plan comptable source'!A:E,5,FALSE)))</f>
        <v/>
      </c>
    </row>
    <row r="473" spans="1:7" ht="20.25" customHeight="1" x14ac:dyDescent="0.25">
      <c r="A473" s="27"/>
      <c r="B473" s="27"/>
      <c r="C473" s="28"/>
      <c r="D473" s="28"/>
      <c r="F473" t="str">
        <f>IF(A473="","",(VLOOKUP(A473,'🧱 Plan comptable source'!A:E,4,FALSE)))</f>
        <v/>
      </c>
      <c r="G473" t="str">
        <f>IF(A473="","",(VLOOKUP(A473,'🧱 Plan comptable source'!A:E,5,FALSE)))</f>
        <v/>
      </c>
    </row>
    <row r="474" spans="1:7" ht="20.25" customHeight="1" x14ac:dyDescent="0.25">
      <c r="A474" s="27"/>
      <c r="B474" s="27"/>
      <c r="C474" s="28"/>
      <c r="D474" s="28"/>
      <c r="F474" t="str">
        <f>IF(A474="","",(VLOOKUP(A474,'🧱 Plan comptable source'!A:E,4,FALSE)))</f>
        <v/>
      </c>
      <c r="G474" t="str">
        <f>IF(A474="","",(VLOOKUP(A474,'🧱 Plan comptable source'!A:E,5,FALSE)))</f>
        <v/>
      </c>
    </row>
    <row r="475" spans="1:7" ht="20.25" customHeight="1" x14ac:dyDescent="0.25">
      <c r="A475" s="27"/>
      <c r="B475" s="27"/>
      <c r="C475" s="28"/>
      <c r="D475" s="28"/>
      <c r="F475" t="str">
        <f>IF(A475="","",(VLOOKUP(A475,'🧱 Plan comptable source'!A:E,4,FALSE)))</f>
        <v/>
      </c>
      <c r="G475" t="str">
        <f>IF(A475="","",(VLOOKUP(A475,'🧱 Plan comptable source'!A:E,5,FALSE)))</f>
        <v/>
      </c>
    </row>
    <row r="476" spans="1:7" ht="20.25" customHeight="1" x14ac:dyDescent="0.25">
      <c r="A476" s="27"/>
      <c r="B476" s="27"/>
      <c r="C476" s="28"/>
      <c r="D476" s="28"/>
      <c r="F476" t="str">
        <f>IF(A476="","",(VLOOKUP(A476,'🧱 Plan comptable source'!A:E,4,FALSE)))</f>
        <v/>
      </c>
      <c r="G476" t="str">
        <f>IF(A476="","",(VLOOKUP(A476,'🧱 Plan comptable source'!A:E,5,FALSE)))</f>
        <v/>
      </c>
    </row>
    <row r="477" spans="1:7" ht="20.25" customHeight="1" x14ac:dyDescent="0.25">
      <c r="A477" s="27"/>
      <c r="B477" s="27"/>
      <c r="C477" s="28"/>
      <c r="D477" s="28"/>
      <c r="F477" t="str">
        <f>IF(A477="","",(VLOOKUP(A477,'🧱 Plan comptable source'!A:E,4,FALSE)))</f>
        <v/>
      </c>
      <c r="G477" t="str">
        <f>IF(A477="","",(VLOOKUP(A477,'🧱 Plan comptable source'!A:E,5,FALSE)))</f>
        <v/>
      </c>
    </row>
    <row r="478" spans="1:7" ht="20.25" customHeight="1" x14ac:dyDescent="0.25">
      <c r="A478" s="27"/>
      <c r="B478" s="27"/>
      <c r="C478" s="28"/>
      <c r="D478" s="28"/>
      <c r="F478" t="str">
        <f>IF(A478="","",(VLOOKUP(A478,'🧱 Plan comptable source'!A:E,4,FALSE)))</f>
        <v/>
      </c>
      <c r="G478" t="str">
        <f>IF(A478="","",(VLOOKUP(A478,'🧱 Plan comptable source'!A:E,5,FALSE)))</f>
        <v/>
      </c>
    </row>
    <row r="479" spans="1:7" ht="20.25" customHeight="1" x14ac:dyDescent="0.25">
      <c r="A479" s="27"/>
      <c r="B479" s="27"/>
      <c r="C479" s="28"/>
      <c r="D479" s="28"/>
      <c r="F479" t="str">
        <f>IF(A479="","",(VLOOKUP(A479,'🧱 Plan comptable source'!A:E,4,FALSE)))</f>
        <v/>
      </c>
      <c r="G479" t="str">
        <f>IF(A479="","",(VLOOKUP(A479,'🧱 Plan comptable source'!A:E,5,FALSE)))</f>
        <v/>
      </c>
    </row>
    <row r="480" spans="1:7" ht="20.25" customHeight="1" x14ac:dyDescent="0.25">
      <c r="A480" s="27"/>
      <c r="B480" s="27"/>
      <c r="C480" s="28"/>
      <c r="D480" s="28"/>
      <c r="F480" t="str">
        <f>IF(A480="","",(VLOOKUP(A480,'🧱 Plan comptable source'!A:E,4,FALSE)))</f>
        <v/>
      </c>
      <c r="G480" t="str">
        <f>IF(A480="","",(VLOOKUP(A480,'🧱 Plan comptable source'!A:E,5,FALSE)))</f>
        <v/>
      </c>
    </row>
    <row r="481" spans="1:7" ht="20.25" customHeight="1" x14ac:dyDescent="0.25">
      <c r="A481" s="27"/>
      <c r="B481" s="27"/>
      <c r="C481" s="28"/>
      <c r="D481" s="28"/>
      <c r="F481" t="str">
        <f>IF(A481="","",(VLOOKUP(A481,'🧱 Plan comptable source'!A:E,4,FALSE)))</f>
        <v/>
      </c>
      <c r="G481" t="str">
        <f>IF(A481="","",(VLOOKUP(A481,'🧱 Plan comptable source'!A:E,5,FALSE)))</f>
        <v/>
      </c>
    </row>
    <row r="482" spans="1:7" ht="20.25" customHeight="1" x14ac:dyDescent="0.25">
      <c r="A482" s="27"/>
      <c r="B482" s="27"/>
      <c r="C482" s="28"/>
      <c r="D482" s="28"/>
      <c r="F482" t="str">
        <f>IF(A482="","",(VLOOKUP(A482,'🧱 Plan comptable source'!A:E,4,FALSE)))</f>
        <v/>
      </c>
      <c r="G482" t="str">
        <f>IF(A482="","",(VLOOKUP(A482,'🧱 Plan comptable source'!A:E,5,FALSE)))</f>
        <v/>
      </c>
    </row>
    <row r="483" spans="1:7" ht="20.25" customHeight="1" x14ac:dyDescent="0.25">
      <c r="A483" s="27"/>
      <c r="B483" s="27"/>
      <c r="C483" s="28"/>
      <c r="D483" s="28"/>
      <c r="F483" t="str">
        <f>IF(A483="","",(VLOOKUP(A483,'🧱 Plan comptable source'!A:E,4,FALSE)))</f>
        <v/>
      </c>
      <c r="G483" t="str">
        <f>IF(A483="","",(VLOOKUP(A483,'🧱 Plan comptable source'!A:E,5,FALSE)))</f>
        <v/>
      </c>
    </row>
    <row r="484" spans="1:7" ht="20.25" customHeight="1" x14ac:dyDescent="0.25">
      <c r="A484" s="27"/>
      <c r="B484" s="27"/>
      <c r="C484" s="28"/>
      <c r="D484" s="28"/>
      <c r="F484" t="str">
        <f>IF(A484="","",(VLOOKUP(A484,'🧱 Plan comptable source'!A:E,4,FALSE)))</f>
        <v/>
      </c>
      <c r="G484" t="str">
        <f>IF(A484="","",(VLOOKUP(A484,'🧱 Plan comptable source'!A:E,5,FALSE)))</f>
        <v/>
      </c>
    </row>
    <row r="485" spans="1:7" ht="20.25" customHeight="1" x14ac:dyDescent="0.25">
      <c r="A485" s="27"/>
      <c r="B485" s="27"/>
      <c r="C485" s="28"/>
      <c r="D485" s="28"/>
      <c r="F485" t="str">
        <f>IF(A485="","",(VLOOKUP(A485,'🧱 Plan comptable source'!A:E,4,FALSE)))</f>
        <v/>
      </c>
      <c r="G485" t="str">
        <f>IF(A485="","",(VLOOKUP(A485,'🧱 Plan comptable source'!A:E,5,FALSE)))</f>
        <v/>
      </c>
    </row>
    <row r="486" spans="1:7" ht="20.25" customHeight="1" x14ac:dyDescent="0.25">
      <c r="A486" s="27"/>
      <c r="B486" s="27"/>
      <c r="C486" s="28"/>
      <c r="D486" s="28"/>
      <c r="F486" t="str">
        <f>IF(A486="","",(VLOOKUP(A486,'🧱 Plan comptable source'!A:E,4,FALSE)))</f>
        <v/>
      </c>
      <c r="G486" t="str">
        <f>IF(A486="","",(VLOOKUP(A486,'🧱 Plan comptable source'!A:E,5,FALSE)))</f>
        <v/>
      </c>
    </row>
    <row r="487" spans="1:7" ht="20.25" customHeight="1" x14ac:dyDescent="0.25">
      <c r="A487" s="27"/>
      <c r="B487" s="27"/>
      <c r="C487" s="28"/>
      <c r="D487" s="28"/>
      <c r="F487" t="str">
        <f>IF(A487="","",(VLOOKUP(A487,'🧱 Plan comptable source'!A:E,4,FALSE)))</f>
        <v/>
      </c>
      <c r="G487" t="str">
        <f>IF(A487="","",(VLOOKUP(A487,'🧱 Plan comptable source'!A:E,5,FALSE)))</f>
        <v/>
      </c>
    </row>
    <row r="488" spans="1:7" ht="20.25" customHeight="1" x14ac:dyDescent="0.25">
      <c r="A488" s="27"/>
      <c r="B488" s="27"/>
      <c r="C488" s="28"/>
      <c r="D488" s="28"/>
      <c r="F488" t="str">
        <f>IF(A488="","",(VLOOKUP(A488,'🧱 Plan comptable source'!A:E,4,FALSE)))</f>
        <v/>
      </c>
      <c r="G488" t="str">
        <f>IF(A488="","",(VLOOKUP(A488,'🧱 Plan comptable source'!A:E,5,FALSE)))</f>
        <v/>
      </c>
    </row>
    <row r="489" spans="1:7" ht="20.25" customHeight="1" x14ac:dyDescent="0.25">
      <c r="A489" s="27"/>
      <c r="B489" s="27"/>
      <c r="C489" s="28"/>
      <c r="D489" s="28"/>
      <c r="F489" t="str">
        <f>IF(A489="","",(VLOOKUP(A489,'🧱 Plan comptable source'!A:E,4,FALSE)))</f>
        <v/>
      </c>
      <c r="G489" t="str">
        <f>IF(A489="","",(VLOOKUP(A489,'🧱 Plan comptable source'!A:E,5,FALSE)))</f>
        <v/>
      </c>
    </row>
    <row r="490" spans="1:7" ht="20.25" customHeight="1" x14ac:dyDescent="0.25">
      <c r="A490" s="27"/>
      <c r="B490" s="27"/>
      <c r="C490" s="28"/>
      <c r="D490" s="28"/>
      <c r="F490" t="str">
        <f>IF(A490="","",(VLOOKUP(A490,'🧱 Plan comptable source'!A:E,4,FALSE)))</f>
        <v/>
      </c>
      <c r="G490" t="str">
        <f>IF(A490="","",(VLOOKUP(A490,'🧱 Plan comptable source'!A:E,5,FALSE)))</f>
        <v/>
      </c>
    </row>
    <row r="491" spans="1:7" ht="20.25" customHeight="1" x14ac:dyDescent="0.25">
      <c r="A491" s="27"/>
      <c r="B491" s="27"/>
      <c r="C491" s="28"/>
      <c r="D491" s="28"/>
      <c r="F491" t="str">
        <f>IF(A491="","",(VLOOKUP(A491,'🧱 Plan comptable source'!A:E,4,FALSE)))</f>
        <v/>
      </c>
      <c r="G491" t="str">
        <f>IF(A491="","",(VLOOKUP(A491,'🧱 Plan comptable source'!A:E,5,FALSE)))</f>
        <v/>
      </c>
    </row>
    <row r="492" spans="1:7" ht="20.25" customHeight="1" x14ac:dyDescent="0.25">
      <c r="A492" s="27"/>
      <c r="B492" s="27"/>
      <c r="C492" s="28"/>
      <c r="D492" s="28"/>
      <c r="F492" t="str">
        <f>IF(A492="","",(VLOOKUP(A492,'🧱 Plan comptable source'!A:E,4,FALSE)))</f>
        <v/>
      </c>
      <c r="G492" t="str">
        <f>IF(A492="","",(VLOOKUP(A492,'🧱 Plan comptable source'!A:E,5,FALSE)))</f>
        <v/>
      </c>
    </row>
    <row r="493" spans="1:7" ht="20.25" customHeight="1" x14ac:dyDescent="0.25">
      <c r="A493" s="27"/>
      <c r="B493" s="27"/>
      <c r="C493" s="28"/>
      <c r="D493" s="28"/>
      <c r="F493" t="str">
        <f>IF(A493="","",(VLOOKUP(A493,'🧱 Plan comptable source'!A:E,4,FALSE)))</f>
        <v/>
      </c>
      <c r="G493" t="str">
        <f>IF(A493="","",(VLOOKUP(A493,'🧱 Plan comptable source'!A:E,5,FALSE)))</f>
        <v/>
      </c>
    </row>
    <row r="494" spans="1:7" ht="20.25" customHeight="1" x14ac:dyDescent="0.25">
      <c r="A494" s="27"/>
      <c r="B494" s="27"/>
      <c r="C494" s="28"/>
      <c r="D494" s="28"/>
      <c r="F494" t="str">
        <f>IF(A494="","",(VLOOKUP(A494,'🧱 Plan comptable source'!A:E,4,FALSE)))</f>
        <v/>
      </c>
      <c r="G494" t="str">
        <f>IF(A494="","",(VLOOKUP(A494,'🧱 Plan comptable source'!A:E,5,FALSE)))</f>
        <v/>
      </c>
    </row>
    <row r="495" spans="1:7" ht="20.25" customHeight="1" x14ac:dyDescent="0.25">
      <c r="A495" s="27"/>
      <c r="B495" s="27"/>
      <c r="C495" s="28"/>
      <c r="D495" s="28"/>
      <c r="F495" t="str">
        <f>IF(A495="","",(VLOOKUP(A495,'🧱 Plan comptable source'!A:E,4,FALSE)))</f>
        <v/>
      </c>
      <c r="G495" t="str">
        <f>IF(A495="","",(VLOOKUP(A495,'🧱 Plan comptable source'!A:E,5,FALSE)))</f>
        <v/>
      </c>
    </row>
    <row r="496" spans="1:7" ht="20.25" customHeight="1" x14ac:dyDescent="0.25">
      <c r="A496" s="27"/>
      <c r="B496" s="27"/>
      <c r="C496" s="28"/>
      <c r="D496" s="28"/>
      <c r="F496" t="str">
        <f>IF(A496="","",(VLOOKUP(A496,'🧱 Plan comptable source'!A:E,4,FALSE)))</f>
        <v/>
      </c>
      <c r="G496" t="str">
        <f>IF(A496="","",(VLOOKUP(A496,'🧱 Plan comptable source'!A:E,5,FALSE)))</f>
        <v/>
      </c>
    </row>
    <row r="497" spans="1:7" ht="20.25" customHeight="1" x14ac:dyDescent="0.25">
      <c r="A497" s="27"/>
      <c r="B497" s="27"/>
      <c r="C497" s="26"/>
      <c r="D497" s="26"/>
      <c r="F497" t="str">
        <f>IF(A497="","",(VLOOKUP(A497,'🧱 Plan comptable source'!A:E,4,FALSE)))</f>
        <v/>
      </c>
      <c r="G497" t="str">
        <f>IF(A497="","",(VLOOKUP(A497,'🧱 Plan comptable source'!A:E,5,FALSE)))</f>
        <v/>
      </c>
    </row>
    <row r="498" spans="1:7" ht="20.25" customHeight="1" x14ac:dyDescent="0.25">
      <c r="A498" s="27"/>
      <c r="B498" s="27"/>
      <c r="C498" s="26"/>
      <c r="D498" s="26"/>
      <c r="F498" t="str">
        <f>IF(A498="","",(VLOOKUP(A498,'🧱 Plan comptable source'!A:E,4,FALSE)))</f>
        <v/>
      </c>
      <c r="G498" t="str">
        <f>IF(A498="","",(VLOOKUP(A498,'🧱 Plan comptable source'!A:E,5,FALSE)))</f>
        <v/>
      </c>
    </row>
    <row r="499" spans="1:7" ht="20.25" customHeight="1" x14ac:dyDescent="0.25">
      <c r="A499" s="27"/>
      <c r="B499" s="27"/>
      <c r="C499" s="26"/>
      <c r="D499" s="26"/>
      <c r="F499" t="str">
        <f>IF(A499="","",(VLOOKUP(A499,'🧱 Plan comptable source'!A:E,4,FALSE)))</f>
        <v/>
      </c>
      <c r="G499" t="str">
        <f>IF(A499="","",(VLOOKUP(A499,'🧱 Plan comptable source'!A:E,5,FALSE)))</f>
        <v/>
      </c>
    </row>
    <row r="500" spans="1:7" ht="20.25" customHeight="1" x14ac:dyDescent="0.25">
      <c r="A500" s="27"/>
      <c r="B500" s="27"/>
      <c r="C500" s="26"/>
      <c r="D500" s="26"/>
      <c r="F500" t="str">
        <f>IF(A500="","",(VLOOKUP(A500,'🧱 Plan comptable source'!A:E,4,FALSE)))</f>
        <v/>
      </c>
      <c r="G500" t="str">
        <f>IF(A500="","",(VLOOKUP(A500,'🧱 Plan comptable source'!A:E,5,FALSE)))</f>
        <v/>
      </c>
    </row>
  </sheetData>
  <sheetProtection sheet="1" formatColumns="0" formatRows="0" selectLockedCells="1" autoFilter="0" pivotTables="0"/>
  <mergeCells count="2">
    <mergeCell ref="A2:G2"/>
    <mergeCell ref="A1:G1"/>
  </mergeCells>
  <conditionalFormatting sqref="A134:B500">
    <cfRule type="expression" priority="68">
      <formula>$F$4</formula>
    </cfRule>
  </conditionalFormatting>
  <conditionalFormatting sqref="A134:D500 D4:D9 C10:D133">
    <cfRule type="expression" dxfId="10" priority="66">
      <formula>ISNA(F4)</formula>
    </cfRule>
  </conditionalFormatting>
  <conditionalFormatting sqref="D4:D9 C10:D57">
    <cfRule type="expression" priority="81">
      <formula>$F$4</formula>
    </cfRule>
    <cfRule type="expression" priority="82">
      <formula>"$F$4=""#N/A"""</formula>
    </cfRule>
  </conditionalFormatting>
  <conditionalFormatting sqref="D65:D74">
    <cfRule type="expression" priority="72">
      <formula>$F$4</formula>
    </cfRule>
    <cfRule type="expression" priority="73">
      <formula>"$F$4=""#N/A"""</formula>
    </cfRule>
  </conditionalFormatting>
  <conditionalFormatting sqref="F4:G500">
    <cfRule type="expression" dxfId="9" priority="67">
      <formula>AND(A4&lt;&gt;"",F4="")</formula>
    </cfRule>
    <cfRule type="expression" dxfId="8" priority="77">
      <formula>ISNA(F4)</formula>
    </cfRule>
  </conditionalFormatting>
  <conditionalFormatting sqref="C67:D69">
    <cfRule type="expression" priority="63">
      <formula>$F$4</formula>
    </cfRule>
    <cfRule type="expression" priority="64">
      <formula>"$F$4=""#N/A"""</formula>
    </cfRule>
  </conditionalFormatting>
  <conditionalFormatting sqref="C4:C9">
    <cfRule type="expression" priority="54">
      <formula>$F$4</formula>
    </cfRule>
  </conditionalFormatting>
  <conditionalFormatting sqref="C4:C9">
    <cfRule type="expression" dxfId="7" priority="53">
      <formula>ISNA(H4)</formula>
    </cfRule>
  </conditionalFormatting>
  <conditionalFormatting sqref="A61:B133">
    <cfRule type="expression" priority="32">
      <formula>$F$4</formula>
    </cfRule>
  </conditionalFormatting>
  <conditionalFormatting sqref="A61:B133">
    <cfRule type="expression" dxfId="6" priority="31">
      <formula>ISNA(F61)</formula>
    </cfRule>
  </conditionalFormatting>
  <conditionalFormatting sqref="A23:B32 A34:B60">
    <cfRule type="expression" priority="18">
      <formula>$F$4</formula>
    </cfRule>
  </conditionalFormatting>
  <conditionalFormatting sqref="A23:B32 A34:B60">
    <cfRule type="expression" dxfId="5" priority="17">
      <formula>ISNA(F23)</formula>
    </cfRule>
  </conditionalFormatting>
  <conditionalFormatting sqref="A33:B33">
    <cfRule type="expression" priority="16">
      <formula>$F$4</formula>
    </cfRule>
  </conditionalFormatting>
  <conditionalFormatting sqref="A33:B33">
    <cfRule type="expression" dxfId="4" priority="15">
      <formula>ISNA(F33)</formula>
    </cfRule>
  </conditionalFormatting>
  <conditionalFormatting sqref="A22:B22">
    <cfRule type="expression" priority="10">
      <formula>$F$4</formula>
    </cfRule>
  </conditionalFormatting>
  <conditionalFormatting sqref="A22:B22">
    <cfRule type="expression" dxfId="3" priority="9">
      <formula>ISNA(F22)</formula>
    </cfRule>
  </conditionalFormatting>
  <conditionalFormatting sqref="A4:B4">
    <cfRule type="expression" priority="6">
      <formula>$F$4</formula>
    </cfRule>
  </conditionalFormatting>
  <conditionalFormatting sqref="A4:B4">
    <cfRule type="expression" dxfId="2" priority="5">
      <formula>ISNA(F4)</formula>
    </cfRule>
  </conditionalFormatting>
  <conditionalFormatting sqref="A5:B12">
    <cfRule type="expression" priority="4">
      <formula>$F$4</formula>
    </cfRule>
  </conditionalFormatting>
  <conditionalFormatting sqref="A5:B12">
    <cfRule type="expression" dxfId="1" priority="3">
      <formula>ISNA(F5)</formula>
    </cfRule>
  </conditionalFormatting>
  <conditionalFormatting sqref="A13:B21">
    <cfRule type="expression" priority="2">
      <formula>$F$4</formula>
    </cfRule>
  </conditionalFormatting>
  <conditionalFormatting sqref="A13:B21">
    <cfRule type="expression" dxfId="0" priority="1">
      <formula>ISNA(F13)</formula>
    </cfRule>
  </conditionalFormatting>
  <dataValidations count="1">
    <dataValidation type="whole" errorStyle="warning" allowBlank="1" showInputMessage="1" showErrorMessage="1" errorTitle="Attention" error="Merci de saisir des chiffres." sqref="A4:A500" xr:uid="{2B9CE3BD-6D49-46E5-8D36-00F284DD7E1A}">
      <formula1>1</formula1>
      <formula2>9999999</formula2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C913-D0B9-47A4-99E8-5102CB79FAE9}">
  <sheetPr codeName="Feuil7">
    <tabColor rgb="FF9370DB"/>
    <pageSetUpPr fitToPage="1"/>
  </sheetPr>
  <dimension ref="A1:E705"/>
  <sheetViews>
    <sheetView showGridLines="0" workbookViewId="0">
      <selection activeCell="C14" sqref="C14"/>
    </sheetView>
  </sheetViews>
  <sheetFormatPr baseColWidth="10" defaultColWidth="9.140625" defaultRowHeight="15" x14ac:dyDescent="0.25"/>
  <cols>
    <col min="1" max="1" width="19.28515625" style="8" bestFit="1" customWidth="1"/>
    <col min="2" max="2" width="67" bestFit="1" customWidth="1"/>
    <col min="3" max="3" width="36.140625" style="8" bestFit="1" customWidth="1"/>
    <col min="4" max="4" width="15.5703125" style="13" bestFit="1" customWidth="1"/>
    <col min="5" max="5" width="16.140625" bestFit="1" customWidth="1"/>
  </cols>
  <sheetData>
    <row r="1" spans="1:5" ht="57" customHeight="1" thickBot="1" x14ac:dyDescent="0.3">
      <c r="A1" s="61" t="s">
        <v>160</v>
      </c>
      <c r="B1" s="61"/>
      <c r="C1" s="61"/>
      <c r="D1" s="61"/>
    </row>
    <row r="2" spans="1:5" ht="37.5" customHeight="1" x14ac:dyDescent="0.25">
      <c r="A2" s="62" t="s">
        <v>161</v>
      </c>
      <c r="B2" s="62"/>
      <c r="C2" s="62"/>
      <c r="D2" s="11" t="s">
        <v>162</v>
      </c>
    </row>
    <row r="3" spans="1:5" ht="19.5" customHeight="1" x14ac:dyDescent="0.25">
      <c r="A3" s="60" t="s">
        <v>163</v>
      </c>
      <c r="B3" s="60"/>
      <c r="C3" s="60"/>
      <c r="D3" s="21">
        <f>SUMIF(C15:C702,"Champ avec droit à déduction",D15:D702)</f>
        <v>0</v>
      </c>
    </row>
    <row r="4" spans="1:5" ht="19.5" customHeight="1" x14ac:dyDescent="0.25">
      <c r="A4" s="60" t="s">
        <v>164</v>
      </c>
      <c r="B4" s="60"/>
      <c r="C4" s="60"/>
      <c r="D4" s="21">
        <f>SUMIF(C15:C702,"Champ sans droit à déduction",D15:D702)</f>
        <v>0</v>
      </c>
    </row>
    <row r="5" spans="1:5" ht="19.5" customHeight="1" x14ac:dyDescent="0.25">
      <c r="A5" s="60" t="s">
        <v>165</v>
      </c>
      <c r="B5" s="60"/>
      <c r="C5" s="60"/>
      <c r="D5" s="21">
        <f>SUMIF(C15:C702,"Hors champ TVA ou exclu légalement",D15:D702)</f>
        <v>0</v>
      </c>
    </row>
    <row r="6" spans="1:5" ht="19.5" customHeight="1" x14ac:dyDescent="0.25">
      <c r="A6" s="60" t="s">
        <v>166</v>
      </c>
      <c r="B6" s="60"/>
      <c r="C6" s="60"/>
      <c r="D6" s="21">
        <f>D3+D4+D5</f>
        <v>0</v>
      </c>
    </row>
    <row r="7" spans="1:5" ht="15.75" x14ac:dyDescent="0.25">
      <c r="A7" s="45"/>
      <c r="B7" s="45"/>
      <c r="C7" s="45"/>
      <c r="D7" s="46"/>
    </row>
    <row r="8" spans="1:5" ht="20.25" customHeight="1" x14ac:dyDescent="0.25">
      <c r="A8" s="50" t="s">
        <v>167</v>
      </c>
      <c r="B8" s="50" t="s">
        <v>168</v>
      </c>
      <c r="C8" s="50" t="s">
        <v>169</v>
      </c>
      <c r="D8" s="51" t="s">
        <v>170</v>
      </c>
    </row>
    <row r="9" spans="1:5" ht="51" customHeight="1" x14ac:dyDescent="0.25">
      <c r="A9" s="48" t="s">
        <v>171</v>
      </c>
      <c r="B9" s="48" t="s">
        <v>172</v>
      </c>
      <c r="C9" s="48" t="s">
        <v>173</v>
      </c>
      <c r="D9" s="52">
        <f>IF(D3=0,0,(D3/(D3+D4)))</f>
        <v>0</v>
      </c>
    </row>
    <row r="10" spans="1:5" ht="51" customHeight="1" x14ac:dyDescent="0.25">
      <c r="A10" s="48" t="s">
        <v>174</v>
      </c>
      <c r="B10" s="48" t="s">
        <v>175</v>
      </c>
      <c r="C10" s="49" t="s">
        <v>176</v>
      </c>
      <c r="D10" s="52">
        <f>(2/3)</f>
        <v>0.66666666666666663</v>
      </c>
    </row>
    <row r="11" spans="1:5" ht="51" customHeight="1" thickBot="1" x14ac:dyDescent="0.3">
      <c r="A11" s="48" t="s">
        <v>177</v>
      </c>
      <c r="B11" s="48" t="s">
        <v>178</v>
      </c>
      <c r="C11" s="48" t="s">
        <v>179</v>
      </c>
      <c r="D11" s="53">
        <v>1</v>
      </c>
    </row>
    <row r="12" spans="1:5" ht="51" customHeight="1" thickBot="1" x14ac:dyDescent="0.3">
      <c r="A12" s="47" t="s">
        <v>180</v>
      </c>
      <c r="B12" s="47" t="s">
        <v>181</v>
      </c>
      <c r="C12" s="54" t="s">
        <v>182</v>
      </c>
      <c r="D12" s="55">
        <f>D9*D10*D11</f>
        <v>0</v>
      </c>
    </row>
    <row r="14" spans="1:5" ht="18.75" x14ac:dyDescent="0.25">
      <c r="A14" s="5" t="s">
        <v>47</v>
      </c>
      <c r="B14" s="5" t="s">
        <v>157</v>
      </c>
      <c r="C14" s="5" t="s">
        <v>183</v>
      </c>
      <c r="D14" s="11" t="s">
        <v>162</v>
      </c>
      <c r="E14" s="1"/>
    </row>
    <row r="15" spans="1:5" ht="18.95" customHeight="1" x14ac:dyDescent="0.25">
      <c r="A15" s="10" t="e" cm="1" vm="1">
        <f t="array" ref="A15">_xlfn._xlws.FILTER('⚖️ Balance à importer'!A4:A1000, (LEFT(TEXT('⚖️ Balance à importer'!A4:A1000,"@"),1)="7") * ('⚖️ Balance à importer'!A4:A1000&lt;&gt;""))</f>
        <v>#VALUE!</v>
      </c>
      <c r="B15" s="9" t="e" vm="2">
        <f>IF(A15="","",VLOOKUP(A15,'⚖️ Balance à importer'!A:G,2,FALSE))</f>
        <v>#VALUE!</v>
      </c>
      <c r="C15" s="10" t="e" vm="2">
        <f>IF(A15="","",VLOOKUP(A15,'📄 Exemple PCG'!A:F,6,FALSE))</f>
        <v>#VALUE!</v>
      </c>
      <c r="D15" s="12" t="str">
        <f>IFERROR(VLOOKUP(A15,'⚖️ Balance à importer'!A:D,4,FALSE) - VLOOKUP(A15,'⚖️ Balance à importer'!A:D,3,FALSE), "")</f>
        <v/>
      </c>
    </row>
    <row r="16" spans="1:5" ht="18.95" customHeight="1" x14ac:dyDescent="0.25">
      <c r="A16" s="10"/>
      <c r="B16" s="9" t="str">
        <f>IF(A16="","",VLOOKUP(A16,'⚖️ Balance à importer'!A:G,2,FALSE))</f>
        <v/>
      </c>
      <c r="C16" s="10" t="str">
        <f>IF(A16="","",VLOOKUP(A16,'📄 Exemple PCG'!A:F,6,FALSE))</f>
        <v/>
      </c>
      <c r="D16" s="12" t="str">
        <f>IFERROR(VLOOKUP(A16,'⚖️ Balance à importer'!A:D,4,FALSE) - VLOOKUP(A16,'⚖️ Balance à importer'!A:D,3,FALSE), "")</f>
        <v/>
      </c>
    </row>
    <row r="17" spans="1:4" ht="18.95" customHeight="1" x14ac:dyDescent="0.25">
      <c r="A17" s="10"/>
      <c r="B17" s="9" t="str">
        <f>IF(A17="","",VLOOKUP(A17,'⚖️ Balance à importer'!A:G,2,FALSE))</f>
        <v/>
      </c>
      <c r="C17" s="10" t="str">
        <f>IF(A17="","",VLOOKUP(A17,'📄 Exemple PCG'!A:F,6,FALSE))</f>
        <v/>
      </c>
      <c r="D17" s="12" t="str">
        <f>IFERROR(VLOOKUP(A17,'⚖️ Balance à importer'!A:D,4,FALSE) - VLOOKUP(A17,'⚖️ Balance à importer'!A:D,3,FALSE), "")</f>
        <v/>
      </c>
    </row>
    <row r="18" spans="1:4" ht="18.95" customHeight="1" x14ac:dyDescent="0.25">
      <c r="A18" s="10"/>
      <c r="B18" s="9" t="str">
        <f>IF(A18="","",VLOOKUP(A18,'⚖️ Balance à importer'!A:G,2,FALSE))</f>
        <v/>
      </c>
      <c r="C18" s="10" t="str">
        <f>IF(A18="","",VLOOKUP(A18,'📄 Exemple PCG'!A:F,6,FALSE))</f>
        <v/>
      </c>
      <c r="D18" s="12" t="str">
        <f>IFERROR(VLOOKUP(A18,'⚖️ Balance à importer'!A:D,4,FALSE) - VLOOKUP(A18,'⚖️ Balance à importer'!A:D,3,FALSE), "")</f>
        <v/>
      </c>
    </row>
    <row r="19" spans="1:4" ht="18.95" customHeight="1" x14ac:dyDescent="0.25">
      <c r="A19" s="10"/>
      <c r="B19" s="9" t="str">
        <f>IF(A19="","",VLOOKUP(A19,'⚖️ Balance à importer'!A:G,2,FALSE))</f>
        <v/>
      </c>
      <c r="C19" s="10" t="str">
        <f>IF(A19="","",VLOOKUP(A19,'📄 Exemple PCG'!A:F,6,FALSE))</f>
        <v/>
      </c>
      <c r="D19" s="12" t="str">
        <f>IFERROR(VLOOKUP(A19,'⚖️ Balance à importer'!A:D,4,FALSE) - VLOOKUP(A19,'⚖️ Balance à importer'!A:D,3,FALSE), "")</f>
        <v/>
      </c>
    </row>
    <row r="20" spans="1:4" ht="18.95" customHeight="1" x14ac:dyDescent="0.25">
      <c r="A20" s="10"/>
      <c r="B20" s="9" t="str">
        <f>IF(A20="","",VLOOKUP(A20,'⚖️ Balance à importer'!A:G,2,FALSE))</f>
        <v/>
      </c>
      <c r="C20" s="10" t="str">
        <f>IF(A20="","",VLOOKUP(A20,'📄 Exemple PCG'!A:F,6,FALSE))</f>
        <v/>
      </c>
      <c r="D20" s="12" t="str">
        <f>IFERROR(VLOOKUP(A20,'⚖️ Balance à importer'!A:D,4,FALSE) - VLOOKUP(A20,'⚖️ Balance à importer'!A:D,3,FALSE), "")</f>
        <v/>
      </c>
    </row>
    <row r="21" spans="1:4" ht="18.95" customHeight="1" x14ac:dyDescent="0.25">
      <c r="A21" s="10"/>
      <c r="B21" s="9" t="str">
        <f>IF(A21="","",VLOOKUP(A21,'⚖️ Balance à importer'!A:G,2,FALSE))</f>
        <v/>
      </c>
      <c r="C21" s="10" t="str">
        <f>IF(A21="","",VLOOKUP(A21,'📄 Exemple PCG'!A:F,6,FALSE))</f>
        <v/>
      </c>
      <c r="D21" s="12" t="str">
        <f>IFERROR(VLOOKUP(A21,'⚖️ Balance à importer'!A:D,4,FALSE) - VLOOKUP(A21,'⚖️ Balance à importer'!A:D,3,FALSE), "")</f>
        <v/>
      </c>
    </row>
    <row r="22" spans="1:4" ht="18.95" customHeight="1" x14ac:dyDescent="0.25">
      <c r="A22" s="10"/>
      <c r="B22" s="9" t="str">
        <f>IF(A22="","",VLOOKUP(A22,'⚖️ Balance à importer'!A:G,2,FALSE))</f>
        <v/>
      </c>
      <c r="C22" s="10" t="str">
        <f>IF(A22="","",VLOOKUP(A22,'📄 Exemple PCG'!A:F,6,FALSE))</f>
        <v/>
      </c>
      <c r="D22" s="12" t="str">
        <f>IFERROR(VLOOKUP(A22,'⚖️ Balance à importer'!A:D,4,FALSE) - VLOOKUP(A22,'⚖️ Balance à importer'!A:D,3,FALSE), "")</f>
        <v/>
      </c>
    </row>
    <row r="23" spans="1:4" ht="18.95" customHeight="1" x14ac:dyDescent="0.25">
      <c r="A23" s="10"/>
      <c r="B23" s="9" t="str">
        <f>IF(A23="","",VLOOKUP(A23,'⚖️ Balance à importer'!A:G,2,FALSE))</f>
        <v/>
      </c>
      <c r="C23" s="10" t="str">
        <f>IF(A23="","",VLOOKUP(A23,'📄 Exemple PCG'!A:F,6,FALSE))</f>
        <v/>
      </c>
      <c r="D23" s="12" t="str">
        <f>IFERROR(VLOOKUP(A23,'⚖️ Balance à importer'!A:D,4,FALSE) - VLOOKUP(A23,'⚖️ Balance à importer'!A:D,3,FALSE), "")</f>
        <v/>
      </c>
    </row>
    <row r="24" spans="1:4" ht="18.95" customHeight="1" x14ac:dyDescent="0.25">
      <c r="A24" s="10"/>
      <c r="B24" s="9" t="str">
        <f>IF(A24="","",VLOOKUP(A24,'⚖️ Balance à importer'!A:G,2,FALSE))</f>
        <v/>
      </c>
      <c r="C24" s="10" t="str">
        <f>IF(A24="","",VLOOKUP(A24,'📄 Exemple PCG'!A:F,6,FALSE))</f>
        <v/>
      </c>
      <c r="D24" s="12" t="str">
        <f>IFERROR(VLOOKUP(A24,'⚖️ Balance à importer'!A:D,4,FALSE) - VLOOKUP(A24,'⚖️ Balance à importer'!A:D,3,FALSE), "")</f>
        <v/>
      </c>
    </row>
    <row r="25" spans="1:4" ht="18.95" customHeight="1" x14ac:dyDescent="0.25">
      <c r="A25" s="10"/>
      <c r="B25" s="9" t="str">
        <f>IF(A25="","",VLOOKUP(A25,'⚖️ Balance à importer'!A:G,2,FALSE))</f>
        <v/>
      </c>
      <c r="C25" s="10" t="str">
        <f>IF(A25="","",VLOOKUP(A25,'📄 Exemple PCG'!A:F,6,FALSE))</f>
        <v/>
      </c>
      <c r="D25" s="12" t="str">
        <f>IFERROR(VLOOKUP(A25,'⚖️ Balance à importer'!A:D,4,FALSE) - VLOOKUP(A25,'⚖️ Balance à importer'!A:D,3,FALSE), "")</f>
        <v/>
      </c>
    </row>
    <row r="26" spans="1:4" ht="18.95" customHeight="1" x14ac:dyDescent="0.25">
      <c r="A26" s="10"/>
      <c r="B26" s="9" t="str">
        <f>IF(A26="","",VLOOKUP(A26,'⚖️ Balance à importer'!A:G,2,FALSE))</f>
        <v/>
      </c>
      <c r="C26" s="10" t="str">
        <f>IF(A26="","",VLOOKUP(A26,'📄 Exemple PCG'!A:F,6,FALSE))</f>
        <v/>
      </c>
      <c r="D26" s="12" t="str">
        <f>IFERROR(VLOOKUP(A26,'⚖️ Balance à importer'!A:D,4,FALSE) - VLOOKUP(A26,'⚖️ Balance à importer'!A:D,3,FALSE), "")</f>
        <v/>
      </c>
    </row>
    <row r="27" spans="1:4" ht="18.95" customHeight="1" x14ac:dyDescent="0.25">
      <c r="A27" s="10"/>
      <c r="B27" s="9" t="str">
        <f>IF(A27="","",VLOOKUP(A27,'⚖️ Balance à importer'!A:G,2,FALSE))</f>
        <v/>
      </c>
      <c r="C27" s="10" t="str">
        <f>IF(A27="","",VLOOKUP(A27,'📄 Exemple PCG'!A:F,6,FALSE))</f>
        <v/>
      </c>
      <c r="D27" s="12" t="str">
        <f>IFERROR(VLOOKUP(A27,'⚖️ Balance à importer'!A:D,4,FALSE) - VLOOKUP(A27,'⚖️ Balance à importer'!A:D,3,FALSE), "")</f>
        <v/>
      </c>
    </row>
    <row r="28" spans="1:4" ht="18.95" customHeight="1" x14ac:dyDescent="0.25">
      <c r="A28" s="10"/>
      <c r="B28" s="9" t="str">
        <f>IF(A28="","",VLOOKUP(A28,'⚖️ Balance à importer'!A:G,2,FALSE))</f>
        <v/>
      </c>
      <c r="C28" s="10" t="str">
        <f>IF(A28="","",VLOOKUP(A28,'📄 Exemple PCG'!A:F,6,FALSE))</f>
        <v/>
      </c>
      <c r="D28" s="12" t="str">
        <f>IFERROR(VLOOKUP(A28,'⚖️ Balance à importer'!A:D,4,FALSE) - VLOOKUP(A28,'⚖️ Balance à importer'!A:D,3,FALSE), "")</f>
        <v/>
      </c>
    </row>
    <row r="29" spans="1:4" ht="18.95" customHeight="1" x14ac:dyDescent="0.25">
      <c r="A29" s="10"/>
      <c r="B29" s="9" t="str">
        <f>IF(A29="","",VLOOKUP(A29,'⚖️ Balance à importer'!A:G,2,FALSE))</f>
        <v/>
      </c>
      <c r="C29" s="10" t="str">
        <f>IF(A29="","",VLOOKUP(A29,'📄 Exemple PCG'!A:F,6,FALSE))</f>
        <v/>
      </c>
      <c r="D29" s="12" t="str">
        <f>IFERROR(VLOOKUP(A29,'⚖️ Balance à importer'!A:D,4,FALSE) - VLOOKUP(A29,'⚖️ Balance à importer'!A:D,3,FALSE), "")</f>
        <v/>
      </c>
    </row>
    <row r="30" spans="1:4" ht="18.95" customHeight="1" x14ac:dyDescent="0.25">
      <c r="A30" s="10"/>
      <c r="B30" s="9" t="str">
        <f>IF(A30="","",VLOOKUP(A30,'⚖️ Balance à importer'!A:G,2,FALSE))</f>
        <v/>
      </c>
      <c r="C30" s="10" t="str">
        <f>IF(A30="","",VLOOKUP(A30,'📄 Exemple PCG'!A:F,6,FALSE))</f>
        <v/>
      </c>
      <c r="D30" s="12" t="str">
        <f>IFERROR(VLOOKUP(A30,'⚖️ Balance à importer'!A:D,4,FALSE) - VLOOKUP(A30,'⚖️ Balance à importer'!A:D,3,FALSE), "")</f>
        <v/>
      </c>
    </row>
    <row r="31" spans="1:4" ht="18.95" customHeight="1" x14ac:dyDescent="0.25">
      <c r="A31" s="10"/>
      <c r="B31" s="9" t="str">
        <f>IF(A31="","",VLOOKUP(A31,'⚖️ Balance à importer'!A:G,2,FALSE))</f>
        <v/>
      </c>
      <c r="C31" s="10" t="str">
        <f>IF(A31="","",VLOOKUP(A31,'📄 Exemple PCG'!A:F,6,FALSE))</f>
        <v/>
      </c>
      <c r="D31" s="12" t="str">
        <f>IFERROR(VLOOKUP(A31,'⚖️ Balance à importer'!A:D,4,FALSE) - VLOOKUP(A31,'⚖️ Balance à importer'!A:D,3,FALSE), "")</f>
        <v/>
      </c>
    </row>
    <row r="32" spans="1:4" ht="18.95" customHeight="1" x14ac:dyDescent="0.25">
      <c r="A32" s="10"/>
      <c r="B32" s="9" t="str">
        <f>IF(A32="","",VLOOKUP(A32,'⚖️ Balance à importer'!A:G,2,FALSE))</f>
        <v/>
      </c>
      <c r="C32" s="10" t="str">
        <f>IF(A32="","",VLOOKUP(A32,'📄 Exemple PCG'!A:F,6,FALSE))</f>
        <v/>
      </c>
      <c r="D32" s="12" t="str">
        <f>IFERROR(VLOOKUP(A32,'⚖️ Balance à importer'!A:D,4,FALSE) - VLOOKUP(A32,'⚖️ Balance à importer'!A:D,3,FALSE), "")</f>
        <v/>
      </c>
    </row>
    <row r="33" spans="2:4" ht="18.95" customHeight="1" x14ac:dyDescent="0.25">
      <c r="B33" t="str">
        <f>IF(A33="","",VLOOKUP(A33,'⚖️ Balance à importer'!A:G,2,FALSE))</f>
        <v/>
      </c>
      <c r="C33" s="10" t="str">
        <f>IF(A33="","",VLOOKUP(A33,'📄 Exemple PCG'!A:F,6,FALSE))</f>
        <v/>
      </c>
      <c r="D33" s="12" t="str">
        <f>IFERROR(VLOOKUP(A33,'⚖️ Balance à importer'!A:D,4,FALSE) - VLOOKUP(A33,'⚖️ Balance à importer'!A:D,3,FALSE), "")</f>
        <v/>
      </c>
    </row>
    <row r="34" spans="2:4" ht="18.95" customHeight="1" x14ac:dyDescent="0.25">
      <c r="B34" t="str">
        <f>IF(A34="","",VLOOKUP(A34,'⚖️ Balance à importer'!A:G,2,FALSE))</f>
        <v/>
      </c>
      <c r="C34" s="10" t="str">
        <f>IF(A34="","",VLOOKUP(A34,'📄 Exemple PCG'!A:F,6,FALSE))</f>
        <v/>
      </c>
      <c r="D34" s="12" t="str">
        <f>IFERROR(VLOOKUP(A34,'⚖️ Balance à importer'!A:D,4,FALSE) - VLOOKUP(A34,'⚖️ Balance à importer'!A:D,3,FALSE), "")</f>
        <v/>
      </c>
    </row>
    <row r="35" spans="2:4" ht="18.95" customHeight="1" x14ac:dyDescent="0.25">
      <c r="B35" t="str">
        <f>IF(A35="","",VLOOKUP(A35,'⚖️ Balance à importer'!A:G,2,FALSE))</f>
        <v/>
      </c>
      <c r="C35" s="10" t="str">
        <f>IF(A35="","",VLOOKUP(A35,'📄 Exemple PCG'!A:F,6,FALSE))</f>
        <v/>
      </c>
      <c r="D35" s="12" t="str">
        <f>IFERROR(VLOOKUP(A35,'⚖️ Balance à importer'!A:D,4,FALSE) - VLOOKUP(A35,'⚖️ Balance à importer'!A:D,3,FALSE), "")</f>
        <v/>
      </c>
    </row>
    <row r="36" spans="2:4" ht="18.95" customHeight="1" x14ac:dyDescent="0.25">
      <c r="B36" t="str">
        <f>IF(A36="","",VLOOKUP(A36,'⚖️ Balance à importer'!A:G,2,FALSE))</f>
        <v/>
      </c>
      <c r="C36" s="10" t="str">
        <f>IF(A36="","",VLOOKUP(A36,'📄 Exemple PCG'!A:F,6,FALSE))</f>
        <v/>
      </c>
      <c r="D36" s="12" t="str">
        <f>IFERROR(VLOOKUP(A36,'⚖️ Balance à importer'!A:D,4,FALSE) - VLOOKUP(A36,'⚖️ Balance à importer'!A:D,3,FALSE), "")</f>
        <v/>
      </c>
    </row>
    <row r="37" spans="2:4" ht="18.95" customHeight="1" x14ac:dyDescent="0.25">
      <c r="B37" t="str">
        <f>IF(A37="","",VLOOKUP(A37,'⚖️ Balance à importer'!A:G,2,FALSE))</f>
        <v/>
      </c>
      <c r="C37" s="10" t="str">
        <f>IF(A37="","",VLOOKUP(A37,'📄 Exemple PCG'!A:F,6,FALSE))</f>
        <v/>
      </c>
      <c r="D37" s="12" t="str">
        <f>IFERROR(VLOOKUP(A37,'⚖️ Balance à importer'!A:D,4,FALSE) - VLOOKUP(A37,'⚖️ Balance à importer'!A:D,3,FALSE), "")</f>
        <v/>
      </c>
    </row>
    <row r="38" spans="2:4" ht="18.95" customHeight="1" x14ac:dyDescent="0.25">
      <c r="B38" t="str">
        <f>IF(A38="","",VLOOKUP(A38,'⚖️ Balance à importer'!A:G,2,FALSE))</f>
        <v/>
      </c>
      <c r="C38" s="10" t="str">
        <f>IF(A38="","",VLOOKUP(A38,'📄 Exemple PCG'!A:F,6,FALSE))</f>
        <v/>
      </c>
      <c r="D38" s="12" t="str">
        <f>IFERROR(VLOOKUP(A38,'⚖️ Balance à importer'!A:D,4,FALSE) - VLOOKUP(A38,'⚖️ Balance à importer'!A:D,3,FALSE), "")</f>
        <v/>
      </c>
    </row>
    <row r="39" spans="2:4" ht="18.95" customHeight="1" x14ac:dyDescent="0.25">
      <c r="B39" t="str">
        <f>IF(A39="","",VLOOKUP(A39,'⚖️ Balance à importer'!A:G,2,FALSE))</f>
        <v/>
      </c>
      <c r="C39" s="10" t="str">
        <f>IF(A39="","",VLOOKUP(A39,'📄 Exemple PCG'!A:F,6,FALSE))</f>
        <v/>
      </c>
      <c r="D39" s="12" t="str">
        <f>IFERROR(VLOOKUP(A39,'⚖️ Balance à importer'!A:D,4,FALSE) - VLOOKUP(A39,'⚖️ Balance à importer'!A:D,3,FALSE), "")</f>
        <v/>
      </c>
    </row>
    <row r="40" spans="2:4" ht="18.95" customHeight="1" x14ac:dyDescent="0.25">
      <c r="B40" t="str">
        <f>IF(A40="","",VLOOKUP(A40,'⚖️ Balance à importer'!A:G,2,FALSE))</f>
        <v/>
      </c>
      <c r="C40" s="10" t="str">
        <f>IF(A40="","",VLOOKUP(A40,'📄 Exemple PCG'!A:F,6,FALSE))</f>
        <v/>
      </c>
      <c r="D40" s="12" t="str">
        <f>IFERROR(VLOOKUP(A40,'⚖️ Balance à importer'!A:D,4,FALSE) - VLOOKUP(A40,'⚖️ Balance à importer'!A:D,3,FALSE), "")</f>
        <v/>
      </c>
    </row>
    <row r="41" spans="2:4" ht="18.95" customHeight="1" x14ac:dyDescent="0.25">
      <c r="B41" t="str">
        <f>IF(A41="","",VLOOKUP(A41,'⚖️ Balance à importer'!A:G,2,FALSE))</f>
        <v/>
      </c>
      <c r="C41" s="10" t="str">
        <f>IF(A41="","",VLOOKUP(A41,'📄 Exemple PCG'!A:F,6,FALSE))</f>
        <v/>
      </c>
      <c r="D41" s="12" t="str">
        <f>IFERROR(VLOOKUP(A41,'⚖️ Balance à importer'!A:D,4,FALSE) - VLOOKUP(A41,'⚖️ Balance à importer'!A:D,3,FALSE), "")</f>
        <v/>
      </c>
    </row>
    <row r="42" spans="2:4" ht="18.95" customHeight="1" x14ac:dyDescent="0.25">
      <c r="B42" t="str">
        <f>IF(A42="","",VLOOKUP(A42,'⚖️ Balance à importer'!A:G,2,FALSE))</f>
        <v/>
      </c>
      <c r="C42" s="10" t="str">
        <f>IF(A42="","",VLOOKUP(A42,'📄 Exemple PCG'!A:F,6,FALSE))</f>
        <v/>
      </c>
      <c r="D42" s="12" t="str">
        <f>IFERROR(VLOOKUP(A42,'⚖️ Balance à importer'!A:D,4,FALSE) - VLOOKUP(A42,'⚖️ Balance à importer'!A:D,3,FALSE), "")</f>
        <v/>
      </c>
    </row>
    <row r="43" spans="2:4" ht="18.95" customHeight="1" x14ac:dyDescent="0.25">
      <c r="B43" t="str">
        <f>IF(A43="","",VLOOKUP(A43,'⚖️ Balance à importer'!A:G,2,FALSE))</f>
        <v/>
      </c>
      <c r="C43" s="10" t="str">
        <f>IF(A43="","",VLOOKUP(A43,'📄 Exemple PCG'!A:F,6,FALSE))</f>
        <v/>
      </c>
      <c r="D43" s="12" t="str">
        <f>IFERROR(VLOOKUP(A43,'⚖️ Balance à importer'!A:D,4,FALSE) - VLOOKUP(A43,'⚖️ Balance à importer'!A:D,3,FALSE), "")</f>
        <v/>
      </c>
    </row>
    <row r="44" spans="2:4" ht="18.95" customHeight="1" x14ac:dyDescent="0.25">
      <c r="B44" t="str">
        <f>IF(A44="","",VLOOKUP(A44,'⚖️ Balance à importer'!A:G,2,FALSE))</f>
        <v/>
      </c>
      <c r="C44" s="10" t="str">
        <f>IF(A44="","",VLOOKUP(A44,'📄 Exemple PCG'!A:F,6,FALSE))</f>
        <v/>
      </c>
      <c r="D44" s="12" t="str">
        <f>IFERROR(VLOOKUP(A44,'⚖️ Balance à importer'!A:D,4,FALSE) - VLOOKUP(A44,'⚖️ Balance à importer'!A:D,3,FALSE), "")</f>
        <v/>
      </c>
    </row>
    <row r="45" spans="2:4" ht="18.95" customHeight="1" x14ac:dyDescent="0.25">
      <c r="B45" t="str">
        <f>IF(A45="","",VLOOKUP(A45,'⚖️ Balance à importer'!A:G,2,FALSE))</f>
        <v/>
      </c>
      <c r="C45" s="10" t="str">
        <f>IF(A45="","",VLOOKUP(A45,'📄 Exemple PCG'!A:F,6,FALSE))</f>
        <v/>
      </c>
      <c r="D45" s="12" t="str">
        <f>IFERROR(VLOOKUP(A45,'⚖️ Balance à importer'!A:D,4,FALSE) - VLOOKUP(A45,'⚖️ Balance à importer'!A:D,3,FALSE), "")</f>
        <v/>
      </c>
    </row>
    <row r="46" spans="2:4" ht="18.95" customHeight="1" x14ac:dyDescent="0.25">
      <c r="B46" t="str">
        <f>IF(A46="","",VLOOKUP(A46,'⚖️ Balance à importer'!A:G,2,FALSE))</f>
        <v/>
      </c>
      <c r="C46" s="10" t="str">
        <f>IF(A46="","",VLOOKUP(A46,'📄 Exemple PCG'!A:F,6,FALSE))</f>
        <v/>
      </c>
      <c r="D46" s="12" t="str">
        <f>IFERROR(VLOOKUP(A46,'⚖️ Balance à importer'!A:D,4,FALSE) - VLOOKUP(A46,'⚖️ Balance à importer'!A:D,3,FALSE), "")</f>
        <v/>
      </c>
    </row>
    <row r="47" spans="2:4" ht="18.95" customHeight="1" x14ac:dyDescent="0.25">
      <c r="B47" t="str">
        <f>IF(A47="","",VLOOKUP(A47,'⚖️ Balance à importer'!A:G,2,FALSE))</f>
        <v/>
      </c>
      <c r="C47" s="10" t="str">
        <f>IF(A47="","",VLOOKUP(A47,'📄 Exemple PCG'!A:F,6,FALSE))</f>
        <v/>
      </c>
      <c r="D47" s="12" t="str">
        <f>IFERROR(VLOOKUP(A47,'⚖️ Balance à importer'!A:D,4,FALSE) - VLOOKUP(A47,'⚖️ Balance à importer'!A:D,3,FALSE), "")</f>
        <v/>
      </c>
    </row>
    <row r="48" spans="2:4" ht="18.95" customHeight="1" x14ac:dyDescent="0.25">
      <c r="B48" t="str">
        <f>IF(A48="","",VLOOKUP(A48,'⚖️ Balance à importer'!A:G,2,FALSE))</f>
        <v/>
      </c>
      <c r="D48" s="12" t="str">
        <f>IFERROR(VLOOKUP(A48,'⚖️ Balance à importer'!A:D,4,FALSE) - VLOOKUP(A48,'⚖️ Balance à importer'!A:D,3,FALSE), "")</f>
        <v/>
      </c>
    </row>
    <row r="49" spans="4:4" ht="18.95" customHeight="1" x14ac:dyDescent="0.25">
      <c r="D49" s="12" t="str">
        <f>IFERROR(VLOOKUP(A49,'⚖️ Balance à importer'!A:D,4,FALSE) - VLOOKUP(A49,'⚖️ Balance à importer'!A:D,3,FALSE), "")</f>
        <v/>
      </c>
    </row>
    <row r="50" spans="4:4" ht="18.95" customHeight="1" x14ac:dyDescent="0.25">
      <c r="D50" s="12" t="str">
        <f>IFERROR(VLOOKUP(A50,'⚖️ Balance à importer'!A:D,4,FALSE) - VLOOKUP(A50,'⚖️ Balance à importer'!A:D,3,FALSE), "")</f>
        <v/>
      </c>
    </row>
    <row r="51" spans="4:4" ht="18.95" customHeight="1" x14ac:dyDescent="0.25">
      <c r="D51" s="12" t="str">
        <f>IFERROR(VLOOKUP(A51,'⚖️ Balance à importer'!A:D,4,FALSE) - VLOOKUP(A51,'⚖️ Balance à importer'!A:D,3,FALSE), "")</f>
        <v/>
      </c>
    </row>
    <row r="52" spans="4:4" ht="18.95" customHeight="1" x14ac:dyDescent="0.25">
      <c r="D52" s="12" t="str">
        <f>IFERROR(VLOOKUP(A52,'⚖️ Balance à importer'!A:D,4,FALSE) - VLOOKUP(A52,'⚖️ Balance à importer'!A:D,3,FALSE), "")</f>
        <v/>
      </c>
    </row>
    <row r="53" spans="4:4" ht="18.95" customHeight="1" x14ac:dyDescent="0.25">
      <c r="D53" s="12" t="str">
        <f>IFERROR(VLOOKUP(A53,'⚖️ Balance à importer'!A:D,4,FALSE) - VLOOKUP(A53,'⚖️ Balance à importer'!A:D,3,FALSE), "")</f>
        <v/>
      </c>
    </row>
    <row r="54" spans="4:4" ht="18.95" customHeight="1" x14ac:dyDescent="0.25">
      <c r="D54" s="12" t="str">
        <f>IFERROR(VLOOKUP(A54,'⚖️ Balance à importer'!A:D,4,FALSE) - VLOOKUP(A54,'⚖️ Balance à importer'!A:D,3,FALSE), "")</f>
        <v/>
      </c>
    </row>
    <row r="55" spans="4:4" ht="18.95" customHeight="1" x14ac:dyDescent="0.25">
      <c r="D55" s="12" t="str">
        <f>IFERROR(VLOOKUP(A55,'⚖️ Balance à importer'!A:D,4,FALSE) - VLOOKUP(A55,'⚖️ Balance à importer'!A:D,3,FALSE), "")</f>
        <v/>
      </c>
    </row>
    <row r="56" spans="4:4" ht="18.95" customHeight="1" x14ac:dyDescent="0.25">
      <c r="D56" s="12" t="str">
        <f>IFERROR(VLOOKUP(A56,'⚖️ Balance à importer'!A:D,4,FALSE) - VLOOKUP(A56,'⚖️ Balance à importer'!A:D,3,FALSE), "")</f>
        <v/>
      </c>
    </row>
    <row r="57" spans="4:4" ht="18.95" customHeight="1" x14ac:dyDescent="0.25">
      <c r="D57" s="12" t="str">
        <f>IFERROR(VLOOKUP(A57,'⚖️ Balance à importer'!A:D,4,FALSE) - VLOOKUP(A57,'⚖️ Balance à importer'!A:D,3,FALSE), "")</f>
        <v/>
      </c>
    </row>
    <row r="58" spans="4:4" ht="18.95" customHeight="1" x14ac:dyDescent="0.25">
      <c r="D58" s="12" t="str">
        <f>IFERROR(VLOOKUP(A58,'⚖️ Balance à importer'!A:D,4,FALSE) - VLOOKUP(A58,'⚖️ Balance à importer'!A:D,3,FALSE), "")</f>
        <v/>
      </c>
    </row>
    <row r="59" spans="4:4" ht="18.95" customHeight="1" x14ac:dyDescent="0.25">
      <c r="D59" s="12" t="str">
        <f>IFERROR(VLOOKUP(A59,'⚖️ Balance à importer'!A:D,4,FALSE) - VLOOKUP(A59,'⚖️ Balance à importer'!A:D,3,FALSE), "")</f>
        <v/>
      </c>
    </row>
    <row r="60" spans="4:4" ht="18.95" customHeight="1" x14ac:dyDescent="0.25">
      <c r="D60" s="12" t="str">
        <f>IFERROR(VLOOKUP(A60,'⚖️ Balance à importer'!A:D,4,FALSE) - VLOOKUP(A60,'⚖️ Balance à importer'!A:D,3,FALSE), "")</f>
        <v/>
      </c>
    </row>
    <row r="61" spans="4:4" ht="18.95" customHeight="1" x14ac:dyDescent="0.25">
      <c r="D61" s="12" t="str">
        <f>IFERROR(VLOOKUP(A61,'⚖️ Balance à importer'!A:D,4,FALSE) - VLOOKUP(A61,'⚖️ Balance à importer'!A:D,3,FALSE), "")</f>
        <v/>
      </c>
    </row>
    <row r="62" spans="4:4" ht="18.95" customHeight="1" x14ac:dyDescent="0.25">
      <c r="D62" s="12" t="str">
        <f>IFERROR(VLOOKUP(A62,'⚖️ Balance à importer'!A:D,4,FALSE) - VLOOKUP(A62,'⚖️ Balance à importer'!A:D,3,FALSE), "")</f>
        <v/>
      </c>
    </row>
    <row r="63" spans="4:4" ht="18.95" customHeight="1" x14ac:dyDescent="0.25">
      <c r="D63" s="12" t="str">
        <f>IFERROR(VLOOKUP(A63,'⚖️ Balance à importer'!A:D,4,FALSE) - VLOOKUP(A63,'⚖️ Balance à importer'!A:D,3,FALSE), "")</f>
        <v/>
      </c>
    </row>
    <row r="64" spans="4:4" ht="18.95" customHeight="1" x14ac:dyDescent="0.25">
      <c r="D64" s="12" t="str">
        <f>IFERROR(VLOOKUP(A64,'⚖️ Balance à importer'!A:D,4,FALSE) - VLOOKUP(A64,'⚖️ Balance à importer'!A:D,3,FALSE), "")</f>
        <v/>
      </c>
    </row>
    <row r="65" spans="4:4" ht="18.95" customHeight="1" x14ac:dyDescent="0.25">
      <c r="D65" s="12" t="str">
        <f>IFERROR(VLOOKUP(A65,'⚖️ Balance à importer'!A:D,4,FALSE) - VLOOKUP(A65,'⚖️ Balance à importer'!A:D,3,FALSE), "")</f>
        <v/>
      </c>
    </row>
    <row r="66" spans="4:4" ht="18.95" customHeight="1" x14ac:dyDescent="0.25">
      <c r="D66" s="12" t="str">
        <f>IFERROR(VLOOKUP(A66,'⚖️ Balance à importer'!A:D,4,FALSE) - VLOOKUP(A66,'⚖️ Balance à importer'!A:D,3,FALSE), "")</f>
        <v/>
      </c>
    </row>
    <row r="67" spans="4:4" ht="18.95" customHeight="1" x14ac:dyDescent="0.25">
      <c r="D67" s="12" t="str">
        <f>IFERROR(VLOOKUP(A67,'⚖️ Balance à importer'!A:D,4,FALSE) - VLOOKUP(A67,'⚖️ Balance à importer'!A:D,3,FALSE), "")</f>
        <v/>
      </c>
    </row>
    <row r="68" spans="4:4" ht="18.95" customHeight="1" x14ac:dyDescent="0.25">
      <c r="D68" s="12" t="str">
        <f>IFERROR(VLOOKUP(A68,'⚖️ Balance à importer'!A:D,4,FALSE) - VLOOKUP(A68,'⚖️ Balance à importer'!A:D,3,FALSE), "")</f>
        <v/>
      </c>
    </row>
    <row r="69" spans="4:4" ht="18.95" customHeight="1" x14ac:dyDescent="0.25">
      <c r="D69" s="12" t="str">
        <f>IFERROR(VLOOKUP(A69,'⚖️ Balance à importer'!A:D,4,FALSE) - VLOOKUP(A69,'⚖️ Balance à importer'!A:D,3,FALSE), "")</f>
        <v/>
      </c>
    </row>
    <row r="70" spans="4:4" ht="18.95" customHeight="1" x14ac:dyDescent="0.25">
      <c r="D70" s="12" t="str">
        <f>IFERROR(VLOOKUP(A70,'⚖️ Balance à importer'!A:D,4,FALSE) - VLOOKUP(A70,'⚖️ Balance à importer'!A:D,3,FALSE), "")</f>
        <v/>
      </c>
    </row>
    <row r="71" spans="4:4" ht="18.95" customHeight="1" x14ac:dyDescent="0.25">
      <c r="D71" s="12" t="str">
        <f>IFERROR(VLOOKUP(A71,'⚖️ Balance à importer'!A:D,4,FALSE) - VLOOKUP(A71,'⚖️ Balance à importer'!A:D,3,FALSE), "")</f>
        <v/>
      </c>
    </row>
    <row r="72" spans="4:4" ht="18.95" customHeight="1" x14ac:dyDescent="0.25">
      <c r="D72" s="12" t="str">
        <f>IFERROR(VLOOKUP(A72,'⚖️ Balance à importer'!A:D,4,FALSE) - VLOOKUP(A72,'⚖️ Balance à importer'!A:D,3,FALSE), "")</f>
        <v/>
      </c>
    </row>
    <row r="73" spans="4:4" ht="18.95" customHeight="1" x14ac:dyDescent="0.25">
      <c r="D73" s="12" t="str">
        <f>IFERROR(VLOOKUP(A73,'⚖️ Balance à importer'!A:D,4,FALSE) - VLOOKUP(A73,'⚖️ Balance à importer'!A:D,3,FALSE), "")</f>
        <v/>
      </c>
    </row>
    <row r="74" spans="4:4" ht="18.95" customHeight="1" x14ac:dyDescent="0.25">
      <c r="D74" s="12" t="str">
        <f>IFERROR(VLOOKUP(A74,'⚖️ Balance à importer'!A:D,4,FALSE) - VLOOKUP(A74,'⚖️ Balance à importer'!A:D,3,FALSE), "")</f>
        <v/>
      </c>
    </row>
    <row r="75" spans="4:4" ht="18.95" customHeight="1" x14ac:dyDescent="0.25">
      <c r="D75" s="12" t="str">
        <f>IFERROR(VLOOKUP(A75,'⚖️ Balance à importer'!A:D,4,FALSE) - VLOOKUP(A75,'⚖️ Balance à importer'!A:D,3,FALSE), "")</f>
        <v/>
      </c>
    </row>
    <row r="76" spans="4:4" ht="18.95" customHeight="1" x14ac:dyDescent="0.25">
      <c r="D76" s="12" t="str">
        <f>IFERROR(VLOOKUP(A76,'⚖️ Balance à importer'!A:D,4,FALSE) - VLOOKUP(A76,'⚖️ Balance à importer'!A:D,3,FALSE), "")</f>
        <v/>
      </c>
    </row>
    <row r="77" spans="4:4" ht="18.95" customHeight="1" x14ac:dyDescent="0.25">
      <c r="D77" s="12" t="str">
        <f>IFERROR(VLOOKUP(A77,'⚖️ Balance à importer'!A:D,4,FALSE) - VLOOKUP(A77,'⚖️ Balance à importer'!A:D,3,FALSE), "")</f>
        <v/>
      </c>
    </row>
    <row r="78" spans="4:4" ht="18.95" customHeight="1" x14ac:dyDescent="0.25">
      <c r="D78" s="12" t="str">
        <f>IFERROR(VLOOKUP(A78,'⚖️ Balance à importer'!A:D,4,FALSE) - VLOOKUP(A78,'⚖️ Balance à importer'!A:D,3,FALSE), "")</f>
        <v/>
      </c>
    </row>
    <row r="79" spans="4:4" ht="18.95" customHeight="1" x14ac:dyDescent="0.25">
      <c r="D79" s="12" t="str">
        <f>IFERROR(VLOOKUP(A79,'⚖️ Balance à importer'!A:D,4,FALSE) - VLOOKUP(A79,'⚖️ Balance à importer'!A:D,3,FALSE), "")</f>
        <v/>
      </c>
    </row>
    <row r="80" spans="4:4" ht="18.95" customHeight="1" x14ac:dyDescent="0.25">
      <c r="D80" s="12" t="str">
        <f>IFERROR(VLOOKUP(A80,'⚖️ Balance à importer'!A:D,4,FALSE) - VLOOKUP(A80,'⚖️ Balance à importer'!A:D,3,FALSE), "")</f>
        <v/>
      </c>
    </row>
    <row r="81" spans="4:4" ht="18.95" customHeight="1" x14ac:dyDescent="0.25">
      <c r="D81" s="12" t="str">
        <f>IFERROR(VLOOKUP(A81,'⚖️ Balance à importer'!A:D,4,FALSE) - VLOOKUP(A81,'⚖️ Balance à importer'!A:D,3,FALSE), "")</f>
        <v/>
      </c>
    </row>
    <row r="82" spans="4:4" ht="18.95" customHeight="1" x14ac:dyDescent="0.25">
      <c r="D82" s="12" t="str">
        <f>IFERROR(VLOOKUP(A82,'⚖️ Balance à importer'!A:D,4,FALSE) - VLOOKUP(A82,'⚖️ Balance à importer'!A:D,3,FALSE), "")</f>
        <v/>
      </c>
    </row>
    <row r="83" spans="4:4" ht="18.95" customHeight="1" x14ac:dyDescent="0.25">
      <c r="D83" s="12" t="str">
        <f>IFERROR(VLOOKUP(A83,'⚖️ Balance à importer'!A:D,4,FALSE) - VLOOKUP(A83,'⚖️ Balance à importer'!A:D,3,FALSE), "")</f>
        <v/>
      </c>
    </row>
    <row r="84" spans="4:4" ht="18.95" customHeight="1" x14ac:dyDescent="0.25">
      <c r="D84" s="12" t="str">
        <f>IFERROR(VLOOKUP(A84,'⚖️ Balance à importer'!A:D,4,FALSE) - VLOOKUP(A84,'⚖️ Balance à importer'!A:D,3,FALSE), "")</f>
        <v/>
      </c>
    </row>
    <row r="85" spans="4:4" ht="18.95" customHeight="1" x14ac:dyDescent="0.25">
      <c r="D85" s="12" t="str">
        <f>IFERROR(VLOOKUP(A85,'⚖️ Balance à importer'!A:D,4,FALSE) - VLOOKUP(A85,'⚖️ Balance à importer'!A:D,3,FALSE), "")</f>
        <v/>
      </c>
    </row>
    <row r="86" spans="4:4" ht="18.95" customHeight="1" x14ac:dyDescent="0.25">
      <c r="D86" s="12" t="str">
        <f>IFERROR(VLOOKUP(A86,'⚖️ Balance à importer'!A:D,4,FALSE) - VLOOKUP(A86,'⚖️ Balance à importer'!A:D,3,FALSE), "")</f>
        <v/>
      </c>
    </row>
    <row r="87" spans="4:4" ht="18.95" customHeight="1" x14ac:dyDescent="0.25">
      <c r="D87" s="12" t="str">
        <f>IFERROR(VLOOKUP(A87,'⚖️ Balance à importer'!A:D,4,FALSE) - VLOOKUP(A87,'⚖️ Balance à importer'!A:D,3,FALSE), "")</f>
        <v/>
      </c>
    </row>
    <row r="88" spans="4:4" ht="18.95" customHeight="1" x14ac:dyDescent="0.25">
      <c r="D88" s="12" t="str">
        <f>IFERROR(VLOOKUP(A88,'⚖️ Balance à importer'!A:D,4,FALSE) - VLOOKUP(A88,'⚖️ Balance à importer'!A:D,3,FALSE), "")</f>
        <v/>
      </c>
    </row>
    <row r="89" spans="4:4" ht="18.95" customHeight="1" x14ac:dyDescent="0.25">
      <c r="D89" s="12" t="str">
        <f>IFERROR(VLOOKUP(A89,'⚖️ Balance à importer'!A:D,4,FALSE) - VLOOKUP(A89,'⚖️ Balance à importer'!A:D,3,FALSE), "")</f>
        <v/>
      </c>
    </row>
    <row r="90" spans="4:4" ht="18.95" customHeight="1" x14ac:dyDescent="0.25">
      <c r="D90" s="12" t="str">
        <f>IFERROR(VLOOKUP(A90,'⚖️ Balance à importer'!A:D,4,FALSE) - VLOOKUP(A90,'⚖️ Balance à importer'!A:D,3,FALSE), "")</f>
        <v/>
      </c>
    </row>
    <row r="91" spans="4:4" ht="18.95" customHeight="1" x14ac:dyDescent="0.25">
      <c r="D91" s="12" t="str">
        <f>IFERROR(VLOOKUP(A91,'⚖️ Balance à importer'!A:D,4,FALSE) - VLOOKUP(A91,'⚖️ Balance à importer'!A:D,3,FALSE), "")</f>
        <v/>
      </c>
    </row>
    <row r="92" spans="4:4" ht="18.95" customHeight="1" x14ac:dyDescent="0.25">
      <c r="D92" s="12" t="str">
        <f>IFERROR(VLOOKUP(A92,'⚖️ Balance à importer'!A:D,4,FALSE) - VLOOKUP(A92,'⚖️ Balance à importer'!A:D,3,FALSE), "")</f>
        <v/>
      </c>
    </row>
    <row r="93" spans="4:4" ht="18.95" customHeight="1" x14ac:dyDescent="0.25">
      <c r="D93" s="12" t="str">
        <f>IFERROR(VLOOKUP(A93,'⚖️ Balance à importer'!A:D,4,FALSE) - VLOOKUP(A93,'⚖️ Balance à importer'!A:D,3,FALSE), "")</f>
        <v/>
      </c>
    </row>
    <row r="94" spans="4:4" ht="18.95" customHeight="1" x14ac:dyDescent="0.25">
      <c r="D94" s="12" t="str">
        <f>IFERROR(VLOOKUP(A94,'⚖️ Balance à importer'!A:D,4,FALSE) - VLOOKUP(A94,'⚖️ Balance à importer'!A:D,3,FALSE), "")</f>
        <v/>
      </c>
    </row>
    <row r="95" spans="4:4" ht="18.95" customHeight="1" x14ac:dyDescent="0.25">
      <c r="D95" s="12" t="str">
        <f>IFERROR(VLOOKUP(A95,'⚖️ Balance à importer'!A:D,4,FALSE) - VLOOKUP(A95,'⚖️ Balance à importer'!A:D,3,FALSE), "")</f>
        <v/>
      </c>
    </row>
    <row r="96" spans="4:4" ht="18.95" customHeight="1" x14ac:dyDescent="0.25">
      <c r="D96" s="12" t="str">
        <f>IFERROR(VLOOKUP(A96,'⚖️ Balance à importer'!A:D,4,FALSE) - VLOOKUP(A96,'⚖️ Balance à importer'!A:D,3,FALSE), "")</f>
        <v/>
      </c>
    </row>
    <row r="97" spans="4:4" ht="18.95" customHeight="1" x14ac:dyDescent="0.25">
      <c r="D97" s="12" t="str">
        <f>IFERROR(VLOOKUP(A97,'⚖️ Balance à importer'!A:D,4,FALSE) - VLOOKUP(A97,'⚖️ Balance à importer'!A:D,3,FALSE), "")</f>
        <v/>
      </c>
    </row>
    <row r="98" spans="4:4" ht="18.95" customHeight="1" x14ac:dyDescent="0.25">
      <c r="D98" s="12" t="str">
        <f>IFERROR(VLOOKUP(A98,'⚖️ Balance à importer'!A:D,4,FALSE) - VLOOKUP(A98,'⚖️ Balance à importer'!A:D,3,FALSE), "")</f>
        <v/>
      </c>
    </row>
    <row r="99" spans="4:4" ht="18.95" customHeight="1" x14ac:dyDescent="0.25">
      <c r="D99" s="12" t="str">
        <f>IFERROR(VLOOKUP(A99,'⚖️ Balance à importer'!A:D,4,FALSE) - VLOOKUP(A99,'⚖️ Balance à importer'!A:D,3,FALSE), "")</f>
        <v/>
      </c>
    </row>
    <row r="100" spans="4:4" ht="18.95" customHeight="1" x14ac:dyDescent="0.25">
      <c r="D100" s="12" t="str">
        <f>IFERROR(VLOOKUP(A100,'⚖️ Balance à importer'!A:D,4,FALSE) - VLOOKUP(A100,'⚖️ Balance à importer'!A:D,3,FALSE), "")</f>
        <v/>
      </c>
    </row>
    <row r="101" spans="4:4" ht="18.95" customHeight="1" x14ac:dyDescent="0.25">
      <c r="D101" s="12" t="str">
        <f>IFERROR(VLOOKUP(A101,'⚖️ Balance à importer'!A:D,4,FALSE) - VLOOKUP(A101,'⚖️ Balance à importer'!A:D,3,FALSE), "")</f>
        <v/>
      </c>
    </row>
    <row r="102" spans="4:4" ht="18.95" customHeight="1" x14ac:dyDescent="0.25">
      <c r="D102" s="12" t="str">
        <f>IFERROR(VLOOKUP(A102,'⚖️ Balance à importer'!A:D,4,FALSE) - VLOOKUP(A102,'⚖️ Balance à importer'!A:D,3,FALSE), "")</f>
        <v/>
      </c>
    </row>
    <row r="103" spans="4:4" ht="18.95" customHeight="1" x14ac:dyDescent="0.25">
      <c r="D103" s="12" t="str">
        <f>IFERROR(VLOOKUP(A103,'⚖️ Balance à importer'!A:D,4,FALSE) - VLOOKUP(A103,'⚖️ Balance à importer'!A:D,3,FALSE), "")</f>
        <v/>
      </c>
    </row>
    <row r="104" spans="4:4" ht="18.95" customHeight="1" x14ac:dyDescent="0.25">
      <c r="D104" s="12" t="str">
        <f>IFERROR(VLOOKUP(A104,'⚖️ Balance à importer'!A:D,4,FALSE) - VLOOKUP(A104,'⚖️ Balance à importer'!A:D,3,FALSE), "")</f>
        <v/>
      </c>
    </row>
    <row r="105" spans="4:4" ht="18.95" customHeight="1" x14ac:dyDescent="0.25">
      <c r="D105" s="12" t="str">
        <f>IFERROR(VLOOKUP(A105,'⚖️ Balance à importer'!A:D,4,FALSE) - VLOOKUP(A105,'⚖️ Balance à importer'!A:D,3,FALSE), "")</f>
        <v/>
      </c>
    </row>
    <row r="106" spans="4:4" ht="18.95" customHeight="1" x14ac:dyDescent="0.25">
      <c r="D106" s="12" t="str">
        <f>IFERROR(VLOOKUP(A106,'⚖️ Balance à importer'!A:D,4,FALSE) - VLOOKUP(A106,'⚖️ Balance à importer'!A:D,3,FALSE), "")</f>
        <v/>
      </c>
    </row>
    <row r="107" spans="4:4" ht="18.95" customHeight="1" x14ac:dyDescent="0.25">
      <c r="D107" s="12" t="str">
        <f>IFERROR(VLOOKUP(A107,'⚖️ Balance à importer'!A:D,4,FALSE) - VLOOKUP(A107,'⚖️ Balance à importer'!A:D,3,FALSE), "")</f>
        <v/>
      </c>
    </row>
    <row r="108" spans="4:4" ht="18.95" customHeight="1" x14ac:dyDescent="0.25">
      <c r="D108" s="12" t="str">
        <f>IFERROR(VLOOKUP(A108,'⚖️ Balance à importer'!A:D,4,FALSE) - VLOOKUP(A108,'⚖️ Balance à importer'!A:D,3,FALSE), "")</f>
        <v/>
      </c>
    </row>
    <row r="109" spans="4:4" ht="18.95" customHeight="1" x14ac:dyDescent="0.25">
      <c r="D109" s="12" t="str">
        <f>IFERROR(VLOOKUP(A109,'⚖️ Balance à importer'!A:D,4,FALSE) - VLOOKUP(A109,'⚖️ Balance à importer'!A:D,3,FALSE), "")</f>
        <v/>
      </c>
    </row>
    <row r="110" spans="4:4" ht="18.95" customHeight="1" x14ac:dyDescent="0.25">
      <c r="D110" s="12" t="str">
        <f>IFERROR(VLOOKUP(A110,'⚖️ Balance à importer'!A:D,4,FALSE) - VLOOKUP(A110,'⚖️ Balance à importer'!A:D,3,FALSE), "")</f>
        <v/>
      </c>
    </row>
    <row r="111" spans="4:4" ht="18.95" customHeight="1" x14ac:dyDescent="0.25">
      <c r="D111" s="12" t="str">
        <f>IFERROR(VLOOKUP(A111,'⚖️ Balance à importer'!A:D,4,FALSE) - VLOOKUP(A111,'⚖️ Balance à importer'!A:D,3,FALSE), "")</f>
        <v/>
      </c>
    </row>
    <row r="112" spans="4:4" ht="18.95" customHeight="1" x14ac:dyDescent="0.25">
      <c r="D112" s="12" t="str">
        <f>IFERROR(VLOOKUP(A112,'⚖️ Balance à importer'!A:D,4,FALSE) - VLOOKUP(A112,'⚖️ Balance à importer'!A:D,3,FALSE), "")</f>
        <v/>
      </c>
    </row>
    <row r="113" spans="4:4" ht="18.95" customHeight="1" x14ac:dyDescent="0.25">
      <c r="D113" s="12" t="str">
        <f>IFERROR(VLOOKUP(A113,'⚖️ Balance à importer'!A:D,4,FALSE) - VLOOKUP(A113,'⚖️ Balance à importer'!A:D,3,FALSE), "")</f>
        <v/>
      </c>
    </row>
    <row r="114" spans="4:4" ht="18.95" customHeight="1" x14ac:dyDescent="0.25">
      <c r="D114" s="12" t="str">
        <f>IFERROR(VLOOKUP(A114,'⚖️ Balance à importer'!A:D,4,FALSE) - VLOOKUP(A114,'⚖️ Balance à importer'!A:D,3,FALSE), "")</f>
        <v/>
      </c>
    </row>
    <row r="115" spans="4:4" ht="18.95" customHeight="1" x14ac:dyDescent="0.25">
      <c r="D115" s="12" t="str">
        <f>IFERROR(VLOOKUP(A115,'⚖️ Balance à importer'!A:D,4,FALSE) - VLOOKUP(A115,'⚖️ Balance à importer'!A:D,3,FALSE), "")</f>
        <v/>
      </c>
    </row>
    <row r="116" spans="4:4" ht="18.95" customHeight="1" x14ac:dyDescent="0.25">
      <c r="D116" s="12" t="str">
        <f>IFERROR(VLOOKUP(A116,'⚖️ Balance à importer'!A:D,4,FALSE) - VLOOKUP(A116,'⚖️ Balance à importer'!A:D,3,FALSE), "")</f>
        <v/>
      </c>
    </row>
    <row r="117" spans="4:4" ht="18.95" customHeight="1" x14ac:dyDescent="0.25">
      <c r="D117" s="12" t="str">
        <f>IFERROR(VLOOKUP(A117,'⚖️ Balance à importer'!A:D,4,FALSE) - VLOOKUP(A117,'⚖️ Balance à importer'!A:D,3,FALSE), "")</f>
        <v/>
      </c>
    </row>
    <row r="118" spans="4:4" ht="18.95" customHeight="1" x14ac:dyDescent="0.25">
      <c r="D118" s="12" t="str">
        <f>IFERROR(VLOOKUP(A118,'⚖️ Balance à importer'!A:D,4,FALSE) - VLOOKUP(A118,'⚖️ Balance à importer'!A:D,3,FALSE), "")</f>
        <v/>
      </c>
    </row>
    <row r="119" spans="4:4" ht="18.95" customHeight="1" x14ac:dyDescent="0.25">
      <c r="D119" s="12" t="str">
        <f>IFERROR(VLOOKUP(A119,'⚖️ Balance à importer'!A:D,4,FALSE) - VLOOKUP(A119,'⚖️ Balance à importer'!A:D,3,FALSE), "")</f>
        <v/>
      </c>
    </row>
    <row r="120" spans="4:4" ht="18.95" customHeight="1" x14ac:dyDescent="0.25">
      <c r="D120" s="12" t="str">
        <f>IFERROR(VLOOKUP(A120,'⚖️ Balance à importer'!A:D,4,FALSE) - VLOOKUP(A120,'⚖️ Balance à importer'!A:D,3,FALSE), "")</f>
        <v/>
      </c>
    </row>
    <row r="121" spans="4:4" ht="18.95" customHeight="1" x14ac:dyDescent="0.25">
      <c r="D121" s="12" t="str">
        <f>IFERROR(VLOOKUP(A121,'⚖️ Balance à importer'!A:D,4,FALSE) - VLOOKUP(A121,'⚖️ Balance à importer'!A:D,3,FALSE), "")</f>
        <v/>
      </c>
    </row>
    <row r="122" spans="4:4" ht="18.95" customHeight="1" x14ac:dyDescent="0.25">
      <c r="D122" s="12" t="str">
        <f>IFERROR(VLOOKUP(A122,'⚖️ Balance à importer'!A:D,4,FALSE) - VLOOKUP(A122,'⚖️ Balance à importer'!A:D,3,FALSE), "")</f>
        <v/>
      </c>
    </row>
    <row r="123" spans="4:4" ht="18.95" customHeight="1" x14ac:dyDescent="0.25">
      <c r="D123" s="12" t="str">
        <f>IFERROR(VLOOKUP(A123,'⚖️ Balance à importer'!A:D,4,FALSE) - VLOOKUP(A123,'⚖️ Balance à importer'!A:D,3,FALSE), "")</f>
        <v/>
      </c>
    </row>
    <row r="124" spans="4:4" ht="18.95" customHeight="1" x14ac:dyDescent="0.25">
      <c r="D124" s="12" t="str">
        <f>IFERROR(VLOOKUP(A124,'⚖️ Balance à importer'!A:D,4,FALSE) - VLOOKUP(A124,'⚖️ Balance à importer'!A:D,3,FALSE), "")</f>
        <v/>
      </c>
    </row>
    <row r="125" spans="4:4" ht="18.95" customHeight="1" x14ac:dyDescent="0.25">
      <c r="D125" s="12" t="str">
        <f>IFERROR(VLOOKUP(A125,'⚖️ Balance à importer'!A:D,4,FALSE) - VLOOKUP(A125,'⚖️ Balance à importer'!A:D,3,FALSE), "")</f>
        <v/>
      </c>
    </row>
    <row r="126" spans="4:4" ht="18.95" customHeight="1" x14ac:dyDescent="0.25">
      <c r="D126" s="12" t="str">
        <f>IFERROR(VLOOKUP(A126,'⚖️ Balance à importer'!A:D,4,FALSE) - VLOOKUP(A126,'⚖️ Balance à importer'!A:D,3,FALSE), "")</f>
        <v/>
      </c>
    </row>
    <row r="127" spans="4:4" ht="18.95" customHeight="1" x14ac:dyDescent="0.25">
      <c r="D127" s="12" t="str">
        <f>IFERROR(VLOOKUP(A127,'⚖️ Balance à importer'!A:D,4,FALSE) - VLOOKUP(A127,'⚖️ Balance à importer'!A:D,3,FALSE), "")</f>
        <v/>
      </c>
    </row>
    <row r="128" spans="4:4" ht="18.95" customHeight="1" x14ac:dyDescent="0.25">
      <c r="D128" s="12" t="str">
        <f>IFERROR(VLOOKUP(A128,'⚖️ Balance à importer'!A:D,4,FALSE) - VLOOKUP(A128,'⚖️ Balance à importer'!A:D,3,FALSE), "")</f>
        <v/>
      </c>
    </row>
    <row r="129" spans="4:4" ht="18.95" customHeight="1" x14ac:dyDescent="0.25">
      <c r="D129" s="12" t="str">
        <f>IFERROR(VLOOKUP(A129,'⚖️ Balance à importer'!A:D,4,FALSE) - VLOOKUP(A129,'⚖️ Balance à importer'!A:D,3,FALSE), "")</f>
        <v/>
      </c>
    </row>
    <row r="130" spans="4:4" ht="18.95" customHeight="1" x14ac:dyDescent="0.25">
      <c r="D130" s="12" t="str">
        <f>IFERROR(VLOOKUP(A130,'⚖️ Balance à importer'!A:D,4,FALSE) - VLOOKUP(A130,'⚖️ Balance à importer'!A:D,3,FALSE), "")</f>
        <v/>
      </c>
    </row>
    <row r="131" spans="4:4" ht="18.95" customHeight="1" x14ac:dyDescent="0.25">
      <c r="D131" s="12" t="str">
        <f>IFERROR(VLOOKUP(A131,'⚖️ Balance à importer'!A:D,4,FALSE) - VLOOKUP(A131,'⚖️ Balance à importer'!A:D,3,FALSE), "")</f>
        <v/>
      </c>
    </row>
    <row r="132" spans="4:4" ht="18.95" customHeight="1" x14ac:dyDescent="0.25">
      <c r="D132" s="12" t="str">
        <f>IFERROR(VLOOKUP(A132,'⚖️ Balance à importer'!A:D,4,FALSE) - VLOOKUP(A132,'⚖️ Balance à importer'!A:D,3,FALSE), "")</f>
        <v/>
      </c>
    </row>
    <row r="133" spans="4:4" ht="18.95" customHeight="1" x14ac:dyDescent="0.25">
      <c r="D133" s="12" t="str">
        <f>IFERROR(VLOOKUP(A133,'⚖️ Balance à importer'!A:D,4,FALSE) - VLOOKUP(A133,'⚖️ Balance à importer'!A:D,3,FALSE), "")</f>
        <v/>
      </c>
    </row>
    <row r="134" spans="4:4" ht="18.95" customHeight="1" x14ac:dyDescent="0.25">
      <c r="D134" s="12" t="str">
        <f>IFERROR(VLOOKUP(A134,'⚖️ Balance à importer'!A:D,4,FALSE) - VLOOKUP(A134,'⚖️ Balance à importer'!A:D,3,FALSE), "")</f>
        <v/>
      </c>
    </row>
    <row r="135" spans="4:4" ht="18.95" customHeight="1" x14ac:dyDescent="0.25">
      <c r="D135" s="12" t="str">
        <f>IFERROR(VLOOKUP(A135,'⚖️ Balance à importer'!A:D,4,FALSE) - VLOOKUP(A135,'⚖️ Balance à importer'!A:D,3,FALSE), "")</f>
        <v/>
      </c>
    </row>
    <row r="136" spans="4:4" ht="18.95" customHeight="1" x14ac:dyDescent="0.25">
      <c r="D136" s="12" t="str">
        <f>IFERROR(VLOOKUP(A136,'⚖️ Balance à importer'!A:D,4,FALSE) - VLOOKUP(A136,'⚖️ Balance à importer'!A:D,3,FALSE), "")</f>
        <v/>
      </c>
    </row>
    <row r="137" spans="4:4" ht="18.95" customHeight="1" x14ac:dyDescent="0.25">
      <c r="D137" s="12" t="str">
        <f>IFERROR(VLOOKUP(A137,'⚖️ Balance à importer'!A:D,4,FALSE) - VLOOKUP(A137,'⚖️ Balance à importer'!A:D,3,FALSE), "")</f>
        <v/>
      </c>
    </row>
    <row r="138" spans="4:4" ht="18.95" customHeight="1" x14ac:dyDescent="0.25">
      <c r="D138" s="12" t="str">
        <f>IFERROR(VLOOKUP(A138,'⚖️ Balance à importer'!A:D,4,FALSE) - VLOOKUP(A138,'⚖️ Balance à importer'!A:D,3,FALSE), "")</f>
        <v/>
      </c>
    </row>
    <row r="139" spans="4:4" ht="18.95" customHeight="1" x14ac:dyDescent="0.25">
      <c r="D139" s="12" t="str">
        <f>IFERROR(VLOOKUP(A139,'⚖️ Balance à importer'!A:D,4,FALSE) - VLOOKUP(A139,'⚖️ Balance à importer'!A:D,3,FALSE), "")</f>
        <v/>
      </c>
    </row>
    <row r="140" spans="4:4" ht="18.95" customHeight="1" x14ac:dyDescent="0.25">
      <c r="D140" s="12" t="str">
        <f>IFERROR(VLOOKUP(A140,'⚖️ Balance à importer'!A:D,4,FALSE) - VLOOKUP(A140,'⚖️ Balance à importer'!A:D,3,FALSE), "")</f>
        <v/>
      </c>
    </row>
    <row r="141" spans="4:4" ht="18.95" customHeight="1" x14ac:dyDescent="0.25">
      <c r="D141" s="12" t="str">
        <f>IFERROR(VLOOKUP(A141,'⚖️ Balance à importer'!A:D,4,FALSE) - VLOOKUP(A141,'⚖️ Balance à importer'!A:D,3,FALSE), "")</f>
        <v/>
      </c>
    </row>
    <row r="142" spans="4:4" ht="18.95" customHeight="1" x14ac:dyDescent="0.25">
      <c r="D142" s="12" t="str">
        <f>IFERROR(VLOOKUP(A142,'⚖️ Balance à importer'!A:D,4,FALSE) - VLOOKUP(A142,'⚖️ Balance à importer'!A:D,3,FALSE), "")</f>
        <v/>
      </c>
    </row>
    <row r="143" spans="4:4" ht="18.95" customHeight="1" x14ac:dyDescent="0.25">
      <c r="D143" s="12" t="str">
        <f>IFERROR(VLOOKUP(A143,'⚖️ Balance à importer'!A:D,4,FALSE) - VLOOKUP(A143,'⚖️ Balance à importer'!A:D,3,FALSE), "")</f>
        <v/>
      </c>
    </row>
    <row r="144" spans="4:4" ht="18.95" customHeight="1" x14ac:dyDescent="0.25">
      <c r="D144" s="12" t="str">
        <f>IFERROR(VLOOKUP(A144,'⚖️ Balance à importer'!A:D,4,FALSE) - VLOOKUP(A144,'⚖️ Balance à importer'!A:D,3,FALSE), "")</f>
        <v/>
      </c>
    </row>
    <row r="145" spans="4:4" ht="18.95" customHeight="1" x14ac:dyDescent="0.25">
      <c r="D145" s="12" t="str">
        <f>IFERROR(VLOOKUP(A145,'⚖️ Balance à importer'!A:D,4,FALSE) - VLOOKUP(A145,'⚖️ Balance à importer'!A:D,3,FALSE), "")</f>
        <v/>
      </c>
    </row>
    <row r="146" spans="4:4" ht="18.95" customHeight="1" x14ac:dyDescent="0.25">
      <c r="D146" s="12" t="str">
        <f>IFERROR(VLOOKUP(A146,'⚖️ Balance à importer'!A:D,4,FALSE) - VLOOKUP(A146,'⚖️ Balance à importer'!A:D,3,FALSE), "")</f>
        <v/>
      </c>
    </row>
    <row r="147" spans="4:4" ht="18.95" customHeight="1" x14ac:dyDescent="0.25">
      <c r="D147" s="12" t="str">
        <f>IFERROR(VLOOKUP(A147,'⚖️ Balance à importer'!A:D,4,FALSE) - VLOOKUP(A147,'⚖️ Balance à importer'!A:D,3,FALSE), "")</f>
        <v/>
      </c>
    </row>
    <row r="148" spans="4:4" ht="18.95" customHeight="1" x14ac:dyDescent="0.25">
      <c r="D148" s="12" t="str">
        <f>IFERROR(VLOOKUP(A148,'⚖️ Balance à importer'!A:D,4,FALSE) - VLOOKUP(A148,'⚖️ Balance à importer'!A:D,3,FALSE), "")</f>
        <v/>
      </c>
    </row>
    <row r="149" spans="4:4" ht="18.95" customHeight="1" x14ac:dyDescent="0.25">
      <c r="D149" s="12" t="str">
        <f>IFERROR(VLOOKUP(A149,'⚖️ Balance à importer'!A:D,4,FALSE) - VLOOKUP(A149,'⚖️ Balance à importer'!A:D,3,FALSE), "")</f>
        <v/>
      </c>
    </row>
    <row r="150" spans="4:4" ht="18.95" customHeight="1" x14ac:dyDescent="0.25">
      <c r="D150" s="12" t="str">
        <f>IFERROR(VLOOKUP(A150,'⚖️ Balance à importer'!A:D,4,FALSE) - VLOOKUP(A150,'⚖️ Balance à importer'!A:D,3,FALSE), "")</f>
        <v/>
      </c>
    </row>
    <row r="151" spans="4:4" ht="18.95" customHeight="1" x14ac:dyDescent="0.25">
      <c r="D151" s="12" t="str">
        <f>IFERROR(VLOOKUP(A151,'⚖️ Balance à importer'!A:D,4,FALSE) - VLOOKUP(A151,'⚖️ Balance à importer'!A:D,3,FALSE), "")</f>
        <v/>
      </c>
    </row>
    <row r="152" spans="4:4" ht="18.95" customHeight="1" x14ac:dyDescent="0.25">
      <c r="D152" s="12" t="str">
        <f>IFERROR(VLOOKUP(A152,'⚖️ Balance à importer'!A:D,4,FALSE) - VLOOKUP(A152,'⚖️ Balance à importer'!A:D,3,FALSE), "")</f>
        <v/>
      </c>
    </row>
    <row r="153" spans="4:4" ht="18.95" customHeight="1" x14ac:dyDescent="0.25">
      <c r="D153" s="12" t="str">
        <f>IFERROR(VLOOKUP(A153,'⚖️ Balance à importer'!A:D,4,FALSE) - VLOOKUP(A153,'⚖️ Balance à importer'!A:D,3,FALSE), "")</f>
        <v/>
      </c>
    </row>
    <row r="154" spans="4:4" ht="18.95" customHeight="1" x14ac:dyDescent="0.25">
      <c r="D154" s="12" t="str">
        <f>IFERROR(VLOOKUP(A154,'⚖️ Balance à importer'!A:D,4,FALSE) - VLOOKUP(A154,'⚖️ Balance à importer'!A:D,3,FALSE), "")</f>
        <v/>
      </c>
    </row>
    <row r="155" spans="4:4" ht="18.95" customHeight="1" x14ac:dyDescent="0.25">
      <c r="D155" s="12" t="str">
        <f>IFERROR(VLOOKUP(A155,'⚖️ Balance à importer'!A:D,4,FALSE) - VLOOKUP(A155,'⚖️ Balance à importer'!A:D,3,FALSE), "")</f>
        <v/>
      </c>
    </row>
    <row r="156" spans="4:4" ht="18.95" customHeight="1" x14ac:dyDescent="0.25">
      <c r="D156" s="12" t="str">
        <f>IFERROR(VLOOKUP(A156,'⚖️ Balance à importer'!A:D,4,FALSE) - VLOOKUP(A156,'⚖️ Balance à importer'!A:D,3,FALSE), "")</f>
        <v/>
      </c>
    </row>
    <row r="157" spans="4:4" ht="18.95" customHeight="1" x14ac:dyDescent="0.25">
      <c r="D157" s="12" t="str">
        <f>IFERROR(VLOOKUP(A157,'⚖️ Balance à importer'!A:D,4,FALSE) - VLOOKUP(A157,'⚖️ Balance à importer'!A:D,3,FALSE), "")</f>
        <v/>
      </c>
    </row>
    <row r="158" spans="4:4" ht="18.95" customHeight="1" x14ac:dyDescent="0.25">
      <c r="D158" s="12" t="str">
        <f>IFERROR(VLOOKUP(A158,'⚖️ Balance à importer'!A:D,4,FALSE) - VLOOKUP(A158,'⚖️ Balance à importer'!A:D,3,FALSE), "")</f>
        <v/>
      </c>
    </row>
    <row r="159" spans="4:4" ht="18.95" customHeight="1" x14ac:dyDescent="0.25">
      <c r="D159" s="12" t="str">
        <f>IFERROR(VLOOKUP(A159,'⚖️ Balance à importer'!A:D,4,FALSE) - VLOOKUP(A159,'⚖️ Balance à importer'!A:D,3,FALSE), "")</f>
        <v/>
      </c>
    </row>
    <row r="160" spans="4:4" ht="18.95" customHeight="1" x14ac:dyDescent="0.25">
      <c r="D160" s="12" t="str">
        <f>IFERROR(VLOOKUP(A160,'⚖️ Balance à importer'!A:D,4,FALSE) - VLOOKUP(A160,'⚖️ Balance à importer'!A:D,3,FALSE), "")</f>
        <v/>
      </c>
    </row>
    <row r="161" spans="4:4" ht="18.95" customHeight="1" x14ac:dyDescent="0.25">
      <c r="D161" s="12" t="str">
        <f>IFERROR(VLOOKUP(A161,'⚖️ Balance à importer'!A:D,4,FALSE) - VLOOKUP(A161,'⚖️ Balance à importer'!A:D,3,FALSE), "")</f>
        <v/>
      </c>
    </row>
    <row r="162" spans="4:4" ht="18.95" customHeight="1" x14ac:dyDescent="0.25">
      <c r="D162" s="12" t="str">
        <f>IFERROR(VLOOKUP(A162,'⚖️ Balance à importer'!A:D,4,FALSE) - VLOOKUP(A162,'⚖️ Balance à importer'!A:D,3,FALSE), "")</f>
        <v/>
      </c>
    </row>
    <row r="163" spans="4:4" ht="18.95" customHeight="1" x14ac:dyDescent="0.25">
      <c r="D163" s="12" t="str">
        <f>IFERROR(VLOOKUP(A163,'⚖️ Balance à importer'!A:D,4,FALSE) - VLOOKUP(A163,'⚖️ Balance à importer'!A:D,3,FALSE), "")</f>
        <v/>
      </c>
    </row>
    <row r="164" spans="4:4" ht="18.95" customHeight="1" x14ac:dyDescent="0.25">
      <c r="D164" s="12" t="str">
        <f>IFERROR(VLOOKUP(A164,'⚖️ Balance à importer'!A:D,4,FALSE) - VLOOKUP(A164,'⚖️ Balance à importer'!A:D,3,FALSE), "")</f>
        <v/>
      </c>
    </row>
    <row r="165" spans="4:4" ht="18.95" customHeight="1" x14ac:dyDescent="0.25">
      <c r="D165" s="12" t="str">
        <f>IFERROR(VLOOKUP(A165,'⚖️ Balance à importer'!A:D,4,FALSE) - VLOOKUP(A165,'⚖️ Balance à importer'!A:D,3,FALSE), "")</f>
        <v/>
      </c>
    </row>
    <row r="166" spans="4:4" ht="18.95" customHeight="1" x14ac:dyDescent="0.25">
      <c r="D166" s="12" t="str">
        <f>IFERROR(VLOOKUP(A166,'⚖️ Balance à importer'!A:D,4,FALSE) - VLOOKUP(A166,'⚖️ Balance à importer'!A:D,3,FALSE), "")</f>
        <v/>
      </c>
    </row>
    <row r="167" spans="4:4" ht="18.95" customHeight="1" x14ac:dyDescent="0.25">
      <c r="D167" s="12" t="str">
        <f>IFERROR(VLOOKUP(A167,'⚖️ Balance à importer'!A:D,4,FALSE) - VLOOKUP(A167,'⚖️ Balance à importer'!A:D,3,FALSE), "")</f>
        <v/>
      </c>
    </row>
    <row r="168" spans="4:4" ht="18.95" customHeight="1" x14ac:dyDescent="0.25">
      <c r="D168" s="12" t="str">
        <f>IFERROR(VLOOKUP(A168,'⚖️ Balance à importer'!A:D,4,FALSE) - VLOOKUP(A168,'⚖️ Balance à importer'!A:D,3,FALSE), "")</f>
        <v/>
      </c>
    </row>
    <row r="169" spans="4:4" ht="18.95" customHeight="1" x14ac:dyDescent="0.25">
      <c r="D169" s="12" t="str">
        <f>IFERROR(VLOOKUP(A169,'⚖️ Balance à importer'!A:D,4,FALSE) - VLOOKUP(A169,'⚖️ Balance à importer'!A:D,3,FALSE), "")</f>
        <v/>
      </c>
    </row>
    <row r="170" spans="4:4" ht="18.95" customHeight="1" x14ac:dyDescent="0.25">
      <c r="D170" s="12" t="str">
        <f>IFERROR(VLOOKUP(A170,'⚖️ Balance à importer'!A:D,4,FALSE) - VLOOKUP(A170,'⚖️ Balance à importer'!A:D,3,FALSE), "")</f>
        <v/>
      </c>
    </row>
    <row r="171" spans="4:4" ht="18.95" customHeight="1" x14ac:dyDescent="0.25">
      <c r="D171" s="12" t="str">
        <f>IFERROR(VLOOKUP(A171,'⚖️ Balance à importer'!A:D,4,FALSE) - VLOOKUP(A171,'⚖️ Balance à importer'!A:D,3,FALSE), "")</f>
        <v/>
      </c>
    </row>
    <row r="172" spans="4:4" ht="18.95" customHeight="1" x14ac:dyDescent="0.25">
      <c r="D172" s="12" t="str">
        <f>IFERROR(VLOOKUP(A172,'⚖️ Balance à importer'!A:D,4,FALSE) - VLOOKUP(A172,'⚖️ Balance à importer'!A:D,3,FALSE), "")</f>
        <v/>
      </c>
    </row>
    <row r="173" spans="4:4" ht="18.95" customHeight="1" x14ac:dyDescent="0.25">
      <c r="D173" s="12" t="str">
        <f>IFERROR(VLOOKUP(A173,'⚖️ Balance à importer'!A:D,4,FALSE) - VLOOKUP(A173,'⚖️ Balance à importer'!A:D,3,FALSE), "")</f>
        <v/>
      </c>
    </row>
    <row r="174" spans="4:4" ht="18.95" customHeight="1" x14ac:dyDescent="0.25">
      <c r="D174" s="12" t="str">
        <f>IFERROR(VLOOKUP(A174,'⚖️ Balance à importer'!A:D,4,FALSE) - VLOOKUP(A174,'⚖️ Balance à importer'!A:D,3,FALSE), "")</f>
        <v/>
      </c>
    </row>
    <row r="175" spans="4:4" ht="18.95" customHeight="1" x14ac:dyDescent="0.25">
      <c r="D175" s="12" t="str">
        <f>IFERROR(VLOOKUP(A175,'⚖️ Balance à importer'!A:D,4,FALSE) - VLOOKUP(A175,'⚖️ Balance à importer'!A:D,3,FALSE), "")</f>
        <v/>
      </c>
    </row>
    <row r="176" spans="4:4" ht="18.95" customHeight="1" x14ac:dyDescent="0.25">
      <c r="D176" s="12" t="str">
        <f>IFERROR(VLOOKUP(A176,'⚖️ Balance à importer'!A:D,4,FALSE) - VLOOKUP(A176,'⚖️ Balance à importer'!A:D,3,FALSE), "")</f>
        <v/>
      </c>
    </row>
    <row r="177" spans="4:4" ht="18.95" customHeight="1" x14ac:dyDescent="0.25">
      <c r="D177" s="12" t="str">
        <f>IFERROR(VLOOKUP(A177,'⚖️ Balance à importer'!A:D,4,FALSE) - VLOOKUP(A177,'⚖️ Balance à importer'!A:D,3,FALSE), "")</f>
        <v/>
      </c>
    </row>
    <row r="178" spans="4:4" ht="18.95" customHeight="1" x14ac:dyDescent="0.25">
      <c r="D178" s="12" t="str">
        <f>IFERROR(VLOOKUP(A178,'⚖️ Balance à importer'!A:D,4,FALSE) - VLOOKUP(A178,'⚖️ Balance à importer'!A:D,3,FALSE), "")</f>
        <v/>
      </c>
    </row>
    <row r="179" spans="4:4" ht="18.95" customHeight="1" x14ac:dyDescent="0.25">
      <c r="D179" s="12" t="str">
        <f>IFERROR(VLOOKUP(A179,'⚖️ Balance à importer'!A:D,4,FALSE) - VLOOKUP(A179,'⚖️ Balance à importer'!A:D,3,FALSE), "")</f>
        <v/>
      </c>
    </row>
    <row r="180" spans="4:4" ht="18.95" customHeight="1" x14ac:dyDescent="0.25">
      <c r="D180" s="12" t="str">
        <f>IFERROR(VLOOKUP(A180,'⚖️ Balance à importer'!A:D,4,FALSE) - VLOOKUP(A180,'⚖️ Balance à importer'!A:D,3,FALSE), "")</f>
        <v/>
      </c>
    </row>
    <row r="181" spans="4:4" ht="18.95" customHeight="1" x14ac:dyDescent="0.25">
      <c r="D181" s="12" t="str">
        <f>IFERROR(VLOOKUP(A181,'⚖️ Balance à importer'!A:D,4,FALSE) - VLOOKUP(A181,'⚖️ Balance à importer'!A:D,3,FALSE), "")</f>
        <v/>
      </c>
    </row>
    <row r="182" spans="4:4" ht="18.95" customHeight="1" x14ac:dyDescent="0.25">
      <c r="D182" s="12" t="str">
        <f>IFERROR(VLOOKUP(A182,'⚖️ Balance à importer'!A:D,4,FALSE) - VLOOKUP(A182,'⚖️ Balance à importer'!A:D,3,FALSE), "")</f>
        <v/>
      </c>
    </row>
    <row r="183" spans="4:4" ht="18.95" customHeight="1" x14ac:dyDescent="0.25">
      <c r="D183" s="12" t="str">
        <f>IFERROR(VLOOKUP(A183,'⚖️ Balance à importer'!A:D,4,FALSE) - VLOOKUP(A183,'⚖️ Balance à importer'!A:D,3,FALSE), "")</f>
        <v/>
      </c>
    </row>
    <row r="184" spans="4:4" ht="18.95" customHeight="1" x14ac:dyDescent="0.25">
      <c r="D184" s="12" t="str">
        <f>IFERROR(VLOOKUP(A184,'⚖️ Balance à importer'!A:D,4,FALSE) - VLOOKUP(A184,'⚖️ Balance à importer'!A:D,3,FALSE), "")</f>
        <v/>
      </c>
    </row>
    <row r="185" spans="4:4" ht="18.95" customHeight="1" x14ac:dyDescent="0.25">
      <c r="D185" s="12" t="str">
        <f>IFERROR(VLOOKUP(A185,'⚖️ Balance à importer'!A:D,4,FALSE) - VLOOKUP(A185,'⚖️ Balance à importer'!A:D,3,FALSE), "")</f>
        <v/>
      </c>
    </row>
    <row r="186" spans="4:4" ht="18.95" customHeight="1" x14ac:dyDescent="0.25">
      <c r="D186" s="12" t="str">
        <f>IFERROR(VLOOKUP(A186,'⚖️ Balance à importer'!A:D,4,FALSE) - VLOOKUP(A186,'⚖️ Balance à importer'!A:D,3,FALSE), "")</f>
        <v/>
      </c>
    </row>
    <row r="187" spans="4:4" ht="18.95" customHeight="1" x14ac:dyDescent="0.25">
      <c r="D187" s="12" t="str">
        <f>IFERROR(VLOOKUP(A187,'⚖️ Balance à importer'!A:D,4,FALSE) - VLOOKUP(A187,'⚖️ Balance à importer'!A:D,3,FALSE), "")</f>
        <v/>
      </c>
    </row>
    <row r="188" spans="4:4" ht="18.95" customHeight="1" x14ac:dyDescent="0.25">
      <c r="D188" s="12" t="str">
        <f>IFERROR(VLOOKUP(A188,'⚖️ Balance à importer'!A:D,4,FALSE) - VLOOKUP(A188,'⚖️ Balance à importer'!A:D,3,FALSE), "")</f>
        <v/>
      </c>
    </row>
    <row r="189" spans="4:4" ht="18.95" customHeight="1" x14ac:dyDescent="0.25">
      <c r="D189" s="12" t="str">
        <f>IFERROR(VLOOKUP(A189,'⚖️ Balance à importer'!A:D,4,FALSE) - VLOOKUP(A189,'⚖️ Balance à importer'!A:D,3,FALSE), "")</f>
        <v/>
      </c>
    </row>
    <row r="190" spans="4:4" ht="18.95" customHeight="1" x14ac:dyDescent="0.25">
      <c r="D190" s="12" t="str">
        <f>IFERROR(VLOOKUP(A190,'⚖️ Balance à importer'!A:D,4,FALSE) - VLOOKUP(A190,'⚖️ Balance à importer'!A:D,3,FALSE), "")</f>
        <v/>
      </c>
    </row>
    <row r="191" spans="4:4" ht="18.95" customHeight="1" x14ac:dyDescent="0.25">
      <c r="D191" s="12" t="str">
        <f>IFERROR(VLOOKUP(A191,'⚖️ Balance à importer'!A:D,4,FALSE) - VLOOKUP(A191,'⚖️ Balance à importer'!A:D,3,FALSE), "")</f>
        <v/>
      </c>
    </row>
    <row r="192" spans="4:4" ht="18.95" customHeight="1" x14ac:dyDescent="0.25">
      <c r="D192" s="12" t="str">
        <f>IFERROR(VLOOKUP(A192,'⚖️ Balance à importer'!A:D,4,FALSE) - VLOOKUP(A192,'⚖️ Balance à importer'!A:D,3,FALSE), "")</f>
        <v/>
      </c>
    </row>
    <row r="193" spans="4:4" ht="18.95" customHeight="1" x14ac:dyDescent="0.25">
      <c r="D193" s="12" t="str">
        <f>IFERROR(VLOOKUP(A193,'⚖️ Balance à importer'!A:D,4,FALSE) - VLOOKUP(A193,'⚖️ Balance à importer'!A:D,3,FALSE), "")</f>
        <v/>
      </c>
    </row>
    <row r="194" spans="4:4" ht="18.95" customHeight="1" x14ac:dyDescent="0.25">
      <c r="D194" s="12" t="str">
        <f>IFERROR(VLOOKUP(A194,'⚖️ Balance à importer'!A:D,4,FALSE) - VLOOKUP(A194,'⚖️ Balance à importer'!A:D,3,FALSE), "")</f>
        <v/>
      </c>
    </row>
    <row r="195" spans="4:4" ht="18.95" customHeight="1" x14ac:dyDescent="0.25">
      <c r="D195" s="12" t="str">
        <f>IFERROR(VLOOKUP(A195,'⚖️ Balance à importer'!A:D,4,FALSE) - VLOOKUP(A195,'⚖️ Balance à importer'!A:D,3,FALSE), "")</f>
        <v/>
      </c>
    </row>
    <row r="196" spans="4:4" ht="18.95" customHeight="1" x14ac:dyDescent="0.25">
      <c r="D196" s="12" t="str">
        <f>IFERROR(VLOOKUP(A196,'⚖️ Balance à importer'!A:D,4,FALSE) - VLOOKUP(A196,'⚖️ Balance à importer'!A:D,3,FALSE), "")</f>
        <v/>
      </c>
    </row>
    <row r="197" spans="4:4" ht="18.95" customHeight="1" x14ac:dyDescent="0.25">
      <c r="D197" s="12" t="str">
        <f>IFERROR(VLOOKUP(A197,'⚖️ Balance à importer'!A:D,4,FALSE) - VLOOKUP(A197,'⚖️ Balance à importer'!A:D,3,FALSE), "")</f>
        <v/>
      </c>
    </row>
    <row r="198" spans="4:4" ht="18.95" customHeight="1" x14ac:dyDescent="0.25">
      <c r="D198" s="12" t="str">
        <f>IFERROR(VLOOKUP(A198,'⚖️ Balance à importer'!A:D,4,FALSE) - VLOOKUP(A198,'⚖️ Balance à importer'!A:D,3,FALSE), "")</f>
        <v/>
      </c>
    </row>
    <row r="199" spans="4:4" ht="18.95" customHeight="1" x14ac:dyDescent="0.25">
      <c r="D199" s="12" t="str">
        <f>IFERROR(VLOOKUP(A199,'⚖️ Balance à importer'!A:D,4,FALSE) - VLOOKUP(A199,'⚖️ Balance à importer'!A:D,3,FALSE), "")</f>
        <v/>
      </c>
    </row>
    <row r="200" spans="4:4" ht="18.95" customHeight="1" x14ac:dyDescent="0.25">
      <c r="D200" s="12" t="str">
        <f>IFERROR(VLOOKUP(A200,'⚖️ Balance à importer'!A:D,4,FALSE) - VLOOKUP(A200,'⚖️ Balance à importer'!A:D,3,FALSE), "")</f>
        <v/>
      </c>
    </row>
    <row r="201" spans="4:4" ht="18.95" customHeight="1" x14ac:dyDescent="0.25">
      <c r="D201" s="12" t="str">
        <f>IFERROR(VLOOKUP(A201,'⚖️ Balance à importer'!A:D,4,FALSE) - VLOOKUP(A201,'⚖️ Balance à importer'!A:D,3,FALSE), "")</f>
        <v/>
      </c>
    </row>
    <row r="202" spans="4:4" ht="18.95" customHeight="1" x14ac:dyDescent="0.25">
      <c r="D202" s="12" t="str">
        <f>IFERROR(VLOOKUP(A202,'⚖️ Balance à importer'!A:D,4,FALSE) - VLOOKUP(A202,'⚖️ Balance à importer'!A:D,3,FALSE), "")</f>
        <v/>
      </c>
    </row>
    <row r="203" spans="4:4" ht="18.95" customHeight="1" x14ac:dyDescent="0.25">
      <c r="D203" s="12" t="str">
        <f>IFERROR(VLOOKUP(A203,'⚖️ Balance à importer'!A:D,4,FALSE) - VLOOKUP(A203,'⚖️ Balance à importer'!A:D,3,FALSE), "")</f>
        <v/>
      </c>
    </row>
    <row r="204" spans="4:4" ht="18.95" customHeight="1" x14ac:dyDescent="0.25">
      <c r="D204" s="12" t="str">
        <f>IFERROR(VLOOKUP(A204,'⚖️ Balance à importer'!A:D,4,FALSE) - VLOOKUP(A204,'⚖️ Balance à importer'!A:D,3,FALSE), "")</f>
        <v/>
      </c>
    </row>
    <row r="205" spans="4:4" ht="18.95" customHeight="1" x14ac:dyDescent="0.25">
      <c r="D205" s="12" t="str">
        <f>IFERROR(VLOOKUP(A205,'⚖️ Balance à importer'!A:D,4,FALSE) - VLOOKUP(A205,'⚖️ Balance à importer'!A:D,3,FALSE), "")</f>
        <v/>
      </c>
    </row>
    <row r="206" spans="4:4" ht="18.95" customHeight="1" x14ac:dyDescent="0.25">
      <c r="D206" s="12" t="str">
        <f>IFERROR(VLOOKUP(A206,'⚖️ Balance à importer'!A:D,4,FALSE) - VLOOKUP(A206,'⚖️ Balance à importer'!A:D,3,FALSE), "")</f>
        <v/>
      </c>
    </row>
    <row r="207" spans="4:4" ht="18.95" customHeight="1" x14ac:dyDescent="0.25">
      <c r="D207" s="12" t="str">
        <f>IFERROR(VLOOKUP(A207,'⚖️ Balance à importer'!A:D,4,FALSE) - VLOOKUP(A207,'⚖️ Balance à importer'!A:D,3,FALSE), "")</f>
        <v/>
      </c>
    </row>
    <row r="208" spans="4:4" ht="15.75" x14ac:dyDescent="0.25">
      <c r="D208" s="12" t="str">
        <f>IFERROR(VLOOKUP(A208,'⚖️ Balance à importer'!A:D,4,FALSE) - VLOOKUP(A208,'⚖️ Balance à importer'!A:D,3,FALSE), "")</f>
        <v/>
      </c>
    </row>
    <row r="209" spans="4:4" ht="15.75" x14ac:dyDescent="0.25">
      <c r="D209" s="12" t="str">
        <f>IFERROR(VLOOKUP(A209,'⚖️ Balance à importer'!A:D,4,FALSE) - VLOOKUP(A209,'⚖️ Balance à importer'!A:D,3,FALSE), "")</f>
        <v/>
      </c>
    </row>
    <row r="210" spans="4:4" ht="15.75" x14ac:dyDescent="0.25">
      <c r="D210" s="12" t="str">
        <f>IFERROR(VLOOKUP(A210,'⚖️ Balance à importer'!A:D,4,FALSE) - VLOOKUP(A210,'⚖️ Balance à importer'!A:D,3,FALSE), "")</f>
        <v/>
      </c>
    </row>
    <row r="211" spans="4:4" ht="15.75" x14ac:dyDescent="0.25">
      <c r="D211" s="12" t="str">
        <f>IFERROR(VLOOKUP(A211,'⚖️ Balance à importer'!A:D,4,FALSE) - VLOOKUP(A211,'⚖️ Balance à importer'!A:D,3,FALSE), "")</f>
        <v/>
      </c>
    </row>
    <row r="212" spans="4:4" ht="15.75" x14ac:dyDescent="0.25">
      <c r="D212" s="12" t="str">
        <f>IFERROR(VLOOKUP(A212,'⚖️ Balance à importer'!A:D,4,FALSE) - VLOOKUP(A212,'⚖️ Balance à importer'!A:D,3,FALSE), "")</f>
        <v/>
      </c>
    </row>
    <row r="213" spans="4:4" ht="15.75" x14ac:dyDescent="0.25">
      <c r="D213" s="12" t="str">
        <f>IFERROR(VLOOKUP(A213,'⚖️ Balance à importer'!A:D,4,FALSE) - VLOOKUP(A213,'⚖️ Balance à importer'!A:D,3,FALSE), "")</f>
        <v/>
      </c>
    </row>
    <row r="214" spans="4:4" ht="15.75" x14ac:dyDescent="0.25">
      <c r="D214" s="12" t="str">
        <f>IFERROR(VLOOKUP(A214,'⚖️ Balance à importer'!A:D,4,FALSE) - VLOOKUP(A214,'⚖️ Balance à importer'!A:D,3,FALSE), "")</f>
        <v/>
      </c>
    </row>
    <row r="215" spans="4:4" ht="15.75" x14ac:dyDescent="0.25">
      <c r="D215" s="12" t="str">
        <f>IFERROR(VLOOKUP(A215,'⚖️ Balance à importer'!A:D,4,FALSE) - VLOOKUP(A215,'⚖️ Balance à importer'!A:D,3,FALSE), "")</f>
        <v/>
      </c>
    </row>
    <row r="216" spans="4:4" ht="15.75" x14ac:dyDescent="0.25">
      <c r="D216" s="12" t="str">
        <f>IFERROR(VLOOKUP(A216,'⚖️ Balance à importer'!A:D,4,FALSE) - VLOOKUP(A216,'⚖️ Balance à importer'!A:D,3,FALSE), "")</f>
        <v/>
      </c>
    </row>
    <row r="217" spans="4:4" ht="15.75" x14ac:dyDescent="0.25">
      <c r="D217" s="12" t="str">
        <f>IFERROR(VLOOKUP(A217,'⚖️ Balance à importer'!A:D,4,FALSE) - VLOOKUP(A217,'⚖️ Balance à importer'!A:D,3,FALSE), "")</f>
        <v/>
      </c>
    </row>
    <row r="218" spans="4:4" ht="15.75" x14ac:dyDescent="0.25">
      <c r="D218" s="12" t="str">
        <f>IFERROR(VLOOKUP(A218,'⚖️ Balance à importer'!A:D,4,FALSE) - VLOOKUP(A218,'⚖️ Balance à importer'!A:D,3,FALSE), "")</f>
        <v/>
      </c>
    </row>
    <row r="219" spans="4:4" ht="15.75" x14ac:dyDescent="0.25">
      <c r="D219" s="12" t="str">
        <f>IFERROR(VLOOKUP(A219,'⚖️ Balance à importer'!A:D,4,FALSE) - VLOOKUP(A219,'⚖️ Balance à importer'!A:D,3,FALSE), "")</f>
        <v/>
      </c>
    </row>
    <row r="220" spans="4:4" ht="15.75" x14ac:dyDescent="0.25">
      <c r="D220" s="12" t="str">
        <f>IFERROR(VLOOKUP(A220,'⚖️ Balance à importer'!A:D,4,FALSE) - VLOOKUP(A220,'⚖️ Balance à importer'!A:D,3,FALSE), "")</f>
        <v/>
      </c>
    </row>
    <row r="221" spans="4:4" ht="15.75" x14ac:dyDescent="0.25">
      <c r="D221" s="12" t="str">
        <f>IFERROR(VLOOKUP(A221,'⚖️ Balance à importer'!A:D,4,FALSE) - VLOOKUP(A221,'⚖️ Balance à importer'!A:D,3,FALSE), "")</f>
        <v/>
      </c>
    </row>
    <row r="222" spans="4:4" ht="15.75" x14ac:dyDescent="0.25">
      <c r="D222" s="12" t="str">
        <f>IFERROR(VLOOKUP(A222,'⚖️ Balance à importer'!A:D,4,FALSE) - VLOOKUP(A222,'⚖️ Balance à importer'!A:D,3,FALSE), "")</f>
        <v/>
      </c>
    </row>
    <row r="223" spans="4:4" ht="15.75" x14ac:dyDescent="0.25">
      <c r="D223" s="12" t="str">
        <f>IFERROR(VLOOKUP(A223,'⚖️ Balance à importer'!A:D,4,FALSE) - VLOOKUP(A223,'⚖️ Balance à importer'!A:D,3,FALSE), "")</f>
        <v/>
      </c>
    </row>
    <row r="224" spans="4:4" ht="15.75" x14ac:dyDescent="0.25">
      <c r="D224" s="12" t="str">
        <f>IFERROR(VLOOKUP(A224,'⚖️ Balance à importer'!A:D,4,FALSE) - VLOOKUP(A224,'⚖️ Balance à importer'!A:D,3,FALSE), "")</f>
        <v/>
      </c>
    </row>
    <row r="225" spans="4:4" ht="15.75" x14ac:dyDescent="0.25">
      <c r="D225" s="12" t="str">
        <f>IFERROR(VLOOKUP(A225,'⚖️ Balance à importer'!A:D,4,FALSE) - VLOOKUP(A225,'⚖️ Balance à importer'!A:D,3,FALSE), "")</f>
        <v/>
      </c>
    </row>
    <row r="226" spans="4:4" ht="15.75" x14ac:dyDescent="0.25">
      <c r="D226" s="12" t="str">
        <f>IFERROR(VLOOKUP(A226,'⚖️ Balance à importer'!A:D,4,FALSE) - VLOOKUP(A226,'⚖️ Balance à importer'!A:D,3,FALSE), "")</f>
        <v/>
      </c>
    </row>
    <row r="227" spans="4:4" ht="15.75" x14ac:dyDescent="0.25">
      <c r="D227" s="12" t="str">
        <f>IFERROR(VLOOKUP(A227,'⚖️ Balance à importer'!A:D,4,FALSE) - VLOOKUP(A227,'⚖️ Balance à importer'!A:D,3,FALSE), "")</f>
        <v/>
      </c>
    </row>
    <row r="228" spans="4:4" ht="15.75" x14ac:dyDescent="0.25">
      <c r="D228" s="12" t="str">
        <f>IFERROR(VLOOKUP(A228,'⚖️ Balance à importer'!A:D,4,FALSE) - VLOOKUP(A228,'⚖️ Balance à importer'!A:D,3,FALSE), "")</f>
        <v/>
      </c>
    </row>
    <row r="229" spans="4:4" ht="15.75" x14ac:dyDescent="0.25">
      <c r="D229" s="12" t="str">
        <f>IFERROR(VLOOKUP(A229,'⚖️ Balance à importer'!A:D,4,FALSE) - VLOOKUP(A229,'⚖️ Balance à importer'!A:D,3,FALSE), "")</f>
        <v/>
      </c>
    </row>
    <row r="230" spans="4:4" ht="15.75" x14ac:dyDescent="0.25">
      <c r="D230" s="12" t="str">
        <f>IFERROR(VLOOKUP(A230,'⚖️ Balance à importer'!A:D,4,FALSE) - VLOOKUP(A230,'⚖️ Balance à importer'!A:D,3,FALSE), "")</f>
        <v/>
      </c>
    </row>
    <row r="231" spans="4:4" ht="15.75" x14ac:dyDescent="0.25">
      <c r="D231" s="12" t="str">
        <f>IFERROR(VLOOKUP(A231,'⚖️ Balance à importer'!A:D,4,FALSE) - VLOOKUP(A231,'⚖️ Balance à importer'!A:D,3,FALSE), "")</f>
        <v/>
      </c>
    </row>
    <row r="232" spans="4:4" ht="15.75" x14ac:dyDescent="0.25">
      <c r="D232" s="12" t="str">
        <f>IFERROR(VLOOKUP(A232,'⚖️ Balance à importer'!A:D,4,FALSE) - VLOOKUP(A232,'⚖️ Balance à importer'!A:D,3,FALSE), "")</f>
        <v/>
      </c>
    </row>
    <row r="233" spans="4:4" ht="15.75" x14ac:dyDescent="0.25">
      <c r="D233" s="12" t="str">
        <f>IFERROR(VLOOKUP(A233,'⚖️ Balance à importer'!A:D,4,FALSE) - VLOOKUP(A233,'⚖️ Balance à importer'!A:D,3,FALSE), "")</f>
        <v/>
      </c>
    </row>
    <row r="234" spans="4:4" ht="15.75" x14ac:dyDescent="0.25">
      <c r="D234" s="12" t="str">
        <f>IFERROR(VLOOKUP(A234,'⚖️ Balance à importer'!A:D,4,FALSE) - VLOOKUP(A234,'⚖️ Balance à importer'!A:D,3,FALSE), "")</f>
        <v/>
      </c>
    </row>
    <row r="235" spans="4:4" ht="15.75" x14ac:dyDescent="0.25">
      <c r="D235" s="12" t="str">
        <f>IFERROR(VLOOKUP(A235,'⚖️ Balance à importer'!A:D,4,FALSE) - VLOOKUP(A235,'⚖️ Balance à importer'!A:D,3,FALSE), "")</f>
        <v/>
      </c>
    </row>
    <row r="236" spans="4:4" ht="15.75" x14ac:dyDescent="0.25">
      <c r="D236" s="12" t="str">
        <f>IFERROR(VLOOKUP(A236,'⚖️ Balance à importer'!A:D,4,FALSE) - VLOOKUP(A236,'⚖️ Balance à importer'!A:D,3,FALSE), "")</f>
        <v/>
      </c>
    </row>
    <row r="237" spans="4:4" ht="15.75" x14ac:dyDescent="0.25">
      <c r="D237" s="12" t="str">
        <f>IFERROR(VLOOKUP(A237,'⚖️ Balance à importer'!A:D,4,FALSE) - VLOOKUP(A237,'⚖️ Balance à importer'!A:D,3,FALSE), "")</f>
        <v/>
      </c>
    </row>
    <row r="238" spans="4:4" ht="15.75" x14ac:dyDescent="0.25">
      <c r="D238" s="12" t="str">
        <f>IFERROR(VLOOKUP(A238,'⚖️ Balance à importer'!A:D,4,FALSE) - VLOOKUP(A238,'⚖️ Balance à importer'!A:D,3,FALSE), "")</f>
        <v/>
      </c>
    </row>
    <row r="239" spans="4:4" ht="15.75" x14ac:dyDescent="0.25">
      <c r="D239" s="12" t="str">
        <f>IFERROR(VLOOKUP(A239,'⚖️ Balance à importer'!A:D,4,FALSE) - VLOOKUP(A239,'⚖️ Balance à importer'!A:D,3,FALSE), "")</f>
        <v/>
      </c>
    </row>
    <row r="240" spans="4:4" ht="15.75" x14ac:dyDescent="0.25">
      <c r="D240" s="12" t="str">
        <f>IFERROR(VLOOKUP(A240,'⚖️ Balance à importer'!A:D,4,FALSE) - VLOOKUP(A240,'⚖️ Balance à importer'!A:D,3,FALSE), "")</f>
        <v/>
      </c>
    </row>
    <row r="241" spans="4:4" ht="15.75" x14ac:dyDescent="0.25">
      <c r="D241" s="12" t="str">
        <f>IFERROR(VLOOKUP(A241,'⚖️ Balance à importer'!A:D,4,FALSE) - VLOOKUP(A241,'⚖️ Balance à importer'!A:D,3,FALSE), "")</f>
        <v/>
      </c>
    </row>
    <row r="242" spans="4:4" ht="15.75" x14ac:dyDescent="0.25">
      <c r="D242" s="12" t="str">
        <f>IFERROR(VLOOKUP(A242,'⚖️ Balance à importer'!A:D,4,FALSE) - VLOOKUP(A242,'⚖️ Balance à importer'!A:D,3,FALSE), "")</f>
        <v/>
      </c>
    </row>
    <row r="243" spans="4:4" ht="15.75" x14ac:dyDescent="0.25">
      <c r="D243" s="12" t="str">
        <f>IFERROR(VLOOKUP(A243,'⚖️ Balance à importer'!A:D,4,FALSE) - VLOOKUP(A243,'⚖️ Balance à importer'!A:D,3,FALSE), "")</f>
        <v/>
      </c>
    </row>
    <row r="244" spans="4:4" ht="15.75" x14ac:dyDescent="0.25">
      <c r="D244" s="12" t="str">
        <f>IFERROR(VLOOKUP(A244,'⚖️ Balance à importer'!A:D,4,FALSE) - VLOOKUP(A244,'⚖️ Balance à importer'!A:D,3,FALSE), "")</f>
        <v/>
      </c>
    </row>
    <row r="245" spans="4:4" ht="15.75" x14ac:dyDescent="0.25">
      <c r="D245" s="12" t="str">
        <f>IFERROR(VLOOKUP(A245,'⚖️ Balance à importer'!A:D,4,FALSE) - VLOOKUP(A245,'⚖️ Balance à importer'!A:D,3,FALSE), "")</f>
        <v/>
      </c>
    </row>
    <row r="246" spans="4:4" ht="15.75" x14ac:dyDescent="0.25">
      <c r="D246" s="12" t="str">
        <f>IFERROR(VLOOKUP(A246,'⚖️ Balance à importer'!A:D,4,FALSE) - VLOOKUP(A246,'⚖️ Balance à importer'!A:D,3,FALSE), "")</f>
        <v/>
      </c>
    </row>
    <row r="247" spans="4:4" ht="15.75" x14ac:dyDescent="0.25">
      <c r="D247" s="12" t="str">
        <f>IFERROR(VLOOKUP(A247,'⚖️ Balance à importer'!A:D,4,FALSE) - VLOOKUP(A247,'⚖️ Balance à importer'!A:D,3,FALSE), "")</f>
        <v/>
      </c>
    </row>
    <row r="248" spans="4:4" ht="15.75" x14ac:dyDescent="0.25">
      <c r="D248" s="12" t="str">
        <f>IFERROR(VLOOKUP(A248,'⚖️ Balance à importer'!A:D,4,FALSE) - VLOOKUP(A248,'⚖️ Balance à importer'!A:D,3,FALSE), "")</f>
        <v/>
      </c>
    </row>
    <row r="249" spans="4:4" ht="15.75" x14ac:dyDescent="0.25">
      <c r="D249" s="12" t="str">
        <f>IFERROR(VLOOKUP(A249,'⚖️ Balance à importer'!A:D,4,FALSE) - VLOOKUP(A249,'⚖️ Balance à importer'!A:D,3,FALSE), "")</f>
        <v/>
      </c>
    </row>
    <row r="250" spans="4:4" ht="15.75" x14ac:dyDescent="0.25">
      <c r="D250" s="12" t="str">
        <f>IFERROR(VLOOKUP(A250,'⚖️ Balance à importer'!A:D,4,FALSE) - VLOOKUP(A250,'⚖️ Balance à importer'!A:D,3,FALSE), "")</f>
        <v/>
      </c>
    </row>
    <row r="251" spans="4:4" ht="15.75" x14ac:dyDescent="0.25">
      <c r="D251" s="12" t="str">
        <f>IFERROR(VLOOKUP(A251,'⚖️ Balance à importer'!A:D,4,FALSE) - VLOOKUP(A251,'⚖️ Balance à importer'!A:D,3,FALSE), "")</f>
        <v/>
      </c>
    </row>
    <row r="252" spans="4:4" ht="15.75" x14ac:dyDescent="0.25">
      <c r="D252" s="12" t="str">
        <f>IFERROR(VLOOKUP(A252,'⚖️ Balance à importer'!A:D,4,FALSE) - VLOOKUP(A252,'⚖️ Balance à importer'!A:D,3,FALSE), "")</f>
        <v/>
      </c>
    </row>
    <row r="253" spans="4:4" ht="15.75" x14ac:dyDescent="0.25">
      <c r="D253" s="12" t="str">
        <f>IFERROR(VLOOKUP(A253,'⚖️ Balance à importer'!A:D,4,FALSE) - VLOOKUP(A253,'⚖️ Balance à importer'!A:D,3,FALSE), "")</f>
        <v/>
      </c>
    </row>
    <row r="254" spans="4:4" ht="15.75" x14ac:dyDescent="0.25">
      <c r="D254" s="12" t="str">
        <f>IFERROR(VLOOKUP(A254,'⚖️ Balance à importer'!A:D,4,FALSE) - VLOOKUP(A254,'⚖️ Balance à importer'!A:D,3,FALSE), "")</f>
        <v/>
      </c>
    </row>
    <row r="255" spans="4:4" ht="15.75" x14ac:dyDescent="0.25">
      <c r="D255" s="12" t="str">
        <f>IFERROR(VLOOKUP(A255,'⚖️ Balance à importer'!A:D,4,FALSE) - VLOOKUP(A255,'⚖️ Balance à importer'!A:D,3,FALSE), "")</f>
        <v/>
      </c>
    </row>
    <row r="256" spans="4:4" ht="15.75" x14ac:dyDescent="0.25">
      <c r="D256" s="12" t="str">
        <f>IFERROR(VLOOKUP(A256,'⚖️ Balance à importer'!A:D,4,FALSE) - VLOOKUP(A256,'⚖️ Balance à importer'!A:D,3,FALSE), "")</f>
        <v/>
      </c>
    </row>
    <row r="257" spans="4:4" ht="15.75" x14ac:dyDescent="0.25">
      <c r="D257" s="12" t="str">
        <f>IFERROR(VLOOKUP(A257,'⚖️ Balance à importer'!A:D,4,FALSE) - VLOOKUP(A257,'⚖️ Balance à importer'!A:D,3,FALSE), "")</f>
        <v/>
      </c>
    </row>
    <row r="258" spans="4:4" ht="15.75" x14ac:dyDescent="0.25">
      <c r="D258" s="12" t="str">
        <f>IFERROR(VLOOKUP(A258,'⚖️ Balance à importer'!A:D,4,FALSE) - VLOOKUP(A258,'⚖️ Balance à importer'!A:D,3,FALSE), "")</f>
        <v/>
      </c>
    </row>
    <row r="259" spans="4:4" ht="15.75" x14ac:dyDescent="0.25">
      <c r="D259" s="12" t="str">
        <f>IFERROR(VLOOKUP(A259,'⚖️ Balance à importer'!A:D,4,FALSE) - VLOOKUP(A259,'⚖️ Balance à importer'!A:D,3,FALSE), "")</f>
        <v/>
      </c>
    </row>
    <row r="260" spans="4:4" ht="15.75" x14ac:dyDescent="0.25">
      <c r="D260" s="12" t="str">
        <f>IFERROR(VLOOKUP(A260,'⚖️ Balance à importer'!A:D,4,FALSE) - VLOOKUP(A260,'⚖️ Balance à importer'!A:D,3,FALSE), "")</f>
        <v/>
      </c>
    </row>
    <row r="261" spans="4:4" ht="15.75" x14ac:dyDescent="0.25">
      <c r="D261" s="12" t="str">
        <f>IFERROR(VLOOKUP(A261,'⚖️ Balance à importer'!A:D,4,FALSE) - VLOOKUP(A261,'⚖️ Balance à importer'!A:D,3,FALSE), "")</f>
        <v/>
      </c>
    </row>
    <row r="262" spans="4:4" ht="15.75" x14ac:dyDescent="0.25">
      <c r="D262" s="12" t="str">
        <f>IFERROR(VLOOKUP(A262,'⚖️ Balance à importer'!A:D,4,FALSE) - VLOOKUP(A262,'⚖️ Balance à importer'!A:D,3,FALSE), "")</f>
        <v/>
      </c>
    </row>
    <row r="263" spans="4:4" ht="15.75" x14ac:dyDescent="0.25">
      <c r="D263" s="12" t="str">
        <f>IFERROR(VLOOKUP(A263,'⚖️ Balance à importer'!A:D,4,FALSE) - VLOOKUP(A263,'⚖️ Balance à importer'!A:D,3,FALSE), "")</f>
        <v/>
      </c>
    </row>
    <row r="264" spans="4:4" ht="15.75" x14ac:dyDescent="0.25">
      <c r="D264" s="12" t="str">
        <f>IFERROR(VLOOKUP(A264,'⚖️ Balance à importer'!A:D,4,FALSE) - VLOOKUP(A264,'⚖️ Balance à importer'!A:D,3,FALSE), "")</f>
        <v/>
      </c>
    </row>
    <row r="265" spans="4:4" ht="15.75" x14ac:dyDescent="0.25">
      <c r="D265" s="12" t="str">
        <f>IFERROR(VLOOKUP(A265,'⚖️ Balance à importer'!A:D,4,FALSE) - VLOOKUP(A265,'⚖️ Balance à importer'!A:D,3,FALSE), "")</f>
        <v/>
      </c>
    </row>
    <row r="266" spans="4:4" ht="15.75" x14ac:dyDescent="0.25">
      <c r="D266" s="12" t="str">
        <f>IFERROR(VLOOKUP(A266,'⚖️ Balance à importer'!A:D,4,FALSE) - VLOOKUP(A266,'⚖️ Balance à importer'!A:D,3,FALSE), "")</f>
        <v/>
      </c>
    </row>
    <row r="267" spans="4:4" ht="15.75" x14ac:dyDescent="0.25">
      <c r="D267" s="12" t="str">
        <f>IFERROR(VLOOKUP(A267,'⚖️ Balance à importer'!A:D,4,FALSE) - VLOOKUP(A267,'⚖️ Balance à importer'!A:D,3,FALSE), "")</f>
        <v/>
      </c>
    </row>
    <row r="268" spans="4:4" ht="15.75" x14ac:dyDescent="0.25">
      <c r="D268" s="12" t="str">
        <f>IFERROR(VLOOKUP(A268,'⚖️ Balance à importer'!A:D,4,FALSE) - VLOOKUP(A268,'⚖️ Balance à importer'!A:D,3,FALSE), "")</f>
        <v/>
      </c>
    </row>
    <row r="269" spans="4:4" ht="15.75" x14ac:dyDescent="0.25">
      <c r="D269" s="12" t="str">
        <f>IFERROR(VLOOKUP(A269,'⚖️ Balance à importer'!A:D,4,FALSE) - VLOOKUP(A269,'⚖️ Balance à importer'!A:D,3,FALSE), "")</f>
        <v/>
      </c>
    </row>
    <row r="270" spans="4:4" ht="15.75" x14ac:dyDescent="0.25">
      <c r="D270" s="12" t="str">
        <f>IFERROR(VLOOKUP(A270,'⚖️ Balance à importer'!A:D,4,FALSE) - VLOOKUP(A270,'⚖️ Balance à importer'!A:D,3,FALSE), "")</f>
        <v/>
      </c>
    </row>
    <row r="271" spans="4:4" ht="15.75" x14ac:dyDescent="0.25">
      <c r="D271" s="12" t="str">
        <f>IFERROR(VLOOKUP(A271,'⚖️ Balance à importer'!A:D,4,FALSE) - VLOOKUP(A271,'⚖️ Balance à importer'!A:D,3,FALSE), "")</f>
        <v/>
      </c>
    </row>
    <row r="272" spans="4:4" ht="15.75" x14ac:dyDescent="0.25">
      <c r="D272" s="12" t="str">
        <f>IFERROR(VLOOKUP(A272,'⚖️ Balance à importer'!A:D,4,FALSE) - VLOOKUP(A272,'⚖️ Balance à importer'!A:D,3,FALSE), "")</f>
        <v/>
      </c>
    </row>
    <row r="273" spans="4:4" ht="15.75" x14ac:dyDescent="0.25">
      <c r="D273" s="12" t="str">
        <f>IFERROR(VLOOKUP(A273,'⚖️ Balance à importer'!A:D,4,FALSE) - VLOOKUP(A273,'⚖️ Balance à importer'!A:D,3,FALSE), "")</f>
        <v/>
      </c>
    </row>
    <row r="274" spans="4:4" ht="15.75" x14ac:dyDescent="0.25">
      <c r="D274" s="12" t="str">
        <f>IFERROR(VLOOKUP(A274,'⚖️ Balance à importer'!A:D,4,FALSE) - VLOOKUP(A274,'⚖️ Balance à importer'!A:D,3,FALSE), "")</f>
        <v/>
      </c>
    </row>
    <row r="275" spans="4:4" ht="15.75" x14ac:dyDescent="0.25">
      <c r="D275" s="12" t="str">
        <f>IFERROR(VLOOKUP(A275,'⚖️ Balance à importer'!A:D,4,FALSE) - VLOOKUP(A275,'⚖️ Balance à importer'!A:D,3,FALSE), "")</f>
        <v/>
      </c>
    </row>
    <row r="276" spans="4:4" ht="15.75" x14ac:dyDescent="0.25">
      <c r="D276" s="12" t="str">
        <f>IFERROR(VLOOKUP(A276,'⚖️ Balance à importer'!A:D,4,FALSE) - VLOOKUP(A276,'⚖️ Balance à importer'!A:D,3,FALSE), "")</f>
        <v/>
      </c>
    </row>
    <row r="277" spans="4:4" ht="15.75" x14ac:dyDescent="0.25">
      <c r="D277" s="12" t="str">
        <f>IFERROR(VLOOKUP(A277,'⚖️ Balance à importer'!A:D,4,FALSE) - VLOOKUP(A277,'⚖️ Balance à importer'!A:D,3,FALSE), "")</f>
        <v/>
      </c>
    </row>
    <row r="278" spans="4:4" ht="15.75" x14ac:dyDescent="0.25">
      <c r="D278" s="12" t="str">
        <f>IFERROR(VLOOKUP(A278,'⚖️ Balance à importer'!A:D,4,FALSE) - VLOOKUP(A278,'⚖️ Balance à importer'!A:D,3,FALSE), "")</f>
        <v/>
      </c>
    </row>
    <row r="279" spans="4:4" ht="15.75" x14ac:dyDescent="0.25">
      <c r="D279" s="12" t="str">
        <f>IFERROR(VLOOKUP(A279,'⚖️ Balance à importer'!A:D,4,FALSE) - VLOOKUP(A279,'⚖️ Balance à importer'!A:D,3,FALSE), "")</f>
        <v/>
      </c>
    </row>
    <row r="280" spans="4:4" ht="15.75" x14ac:dyDescent="0.25">
      <c r="D280" s="12" t="str">
        <f>IFERROR(VLOOKUP(A280,'⚖️ Balance à importer'!A:D,4,FALSE) - VLOOKUP(A280,'⚖️ Balance à importer'!A:D,3,FALSE), "")</f>
        <v/>
      </c>
    </row>
    <row r="281" spans="4:4" ht="15.75" x14ac:dyDescent="0.25">
      <c r="D281" s="12" t="str">
        <f>IFERROR(VLOOKUP(A281,'⚖️ Balance à importer'!A:D,4,FALSE) - VLOOKUP(A281,'⚖️ Balance à importer'!A:D,3,FALSE), "")</f>
        <v/>
      </c>
    </row>
    <row r="282" spans="4:4" ht="15.75" x14ac:dyDescent="0.25">
      <c r="D282" s="12" t="str">
        <f>IFERROR(VLOOKUP(A282,'⚖️ Balance à importer'!A:D,4,FALSE) - VLOOKUP(A282,'⚖️ Balance à importer'!A:D,3,FALSE), "")</f>
        <v/>
      </c>
    </row>
    <row r="283" spans="4:4" ht="15.75" x14ac:dyDescent="0.25">
      <c r="D283" s="12" t="str">
        <f>IFERROR(VLOOKUP(A283,'⚖️ Balance à importer'!A:D,4,FALSE) - VLOOKUP(A283,'⚖️ Balance à importer'!A:D,3,FALSE), "")</f>
        <v/>
      </c>
    </row>
    <row r="284" spans="4:4" ht="15.75" x14ac:dyDescent="0.25">
      <c r="D284" s="12" t="str">
        <f>IFERROR(VLOOKUP(A284,'⚖️ Balance à importer'!A:D,4,FALSE) - VLOOKUP(A284,'⚖️ Balance à importer'!A:D,3,FALSE), "")</f>
        <v/>
      </c>
    </row>
    <row r="285" spans="4:4" ht="15.75" x14ac:dyDescent="0.25">
      <c r="D285" s="12" t="str">
        <f>IFERROR(VLOOKUP(A285,'⚖️ Balance à importer'!A:D,4,FALSE) - VLOOKUP(A285,'⚖️ Balance à importer'!A:D,3,FALSE), "")</f>
        <v/>
      </c>
    </row>
    <row r="286" spans="4:4" ht="15.75" x14ac:dyDescent="0.25">
      <c r="D286" s="12" t="str">
        <f>IFERROR(VLOOKUP(A286,'⚖️ Balance à importer'!A:D,4,FALSE) - VLOOKUP(A286,'⚖️ Balance à importer'!A:D,3,FALSE), "")</f>
        <v/>
      </c>
    </row>
    <row r="287" spans="4:4" ht="15.75" x14ac:dyDescent="0.25">
      <c r="D287" s="12" t="str">
        <f>IFERROR(VLOOKUP(A287,'⚖️ Balance à importer'!A:D,4,FALSE) - VLOOKUP(A287,'⚖️ Balance à importer'!A:D,3,FALSE), "")</f>
        <v/>
      </c>
    </row>
    <row r="288" spans="4:4" ht="15.75" x14ac:dyDescent="0.25">
      <c r="D288" s="12" t="str">
        <f>IFERROR(VLOOKUP(A288,'⚖️ Balance à importer'!A:D,4,FALSE) - VLOOKUP(A288,'⚖️ Balance à importer'!A:D,3,FALSE), "")</f>
        <v/>
      </c>
    </row>
    <row r="289" spans="4:4" ht="15.75" x14ac:dyDescent="0.25">
      <c r="D289" s="12" t="str">
        <f>IFERROR(VLOOKUP(A289,'⚖️ Balance à importer'!A:D,4,FALSE) - VLOOKUP(A289,'⚖️ Balance à importer'!A:D,3,FALSE), "")</f>
        <v/>
      </c>
    </row>
    <row r="290" spans="4:4" ht="15.75" x14ac:dyDescent="0.25">
      <c r="D290" s="12" t="str">
        <f>IFERROR(VLOOKUP(A290,'⚖️ Balance à importer'!A:D,4,FALSE) - VLOOKUP(A290,'⚖️ Balance à importer'!A:D,3,FALSE), "")</f>
        <v/>
      </c>
    </row>
    <row r="291" spans="4:4" ht="15.75" x14ac:dyDescent="0.25">
      <c r="D291" s="12" t="str">
        <f>IFERROR(VLOOKUP(A291,'⚖️ Balance à importer'!A:D,4,FALSE) - VLOOKUP(A291,'⚖️ Balance à importer'!A:D,3,FALSE), "")</f>
        <v/>
      </c>
    </row>
    <row r="292" spans="4:4" ht="15.75" x14ac:dyDescent="0.25">
      <c r="D292" s="12" t="str">
        <f>IFERROR(VLOOKUP(A292,'⚖️ Balance à importer'!A:D,4,FALSE) - VLOOKUP(A292,'⚖️ Balance à importer'!A:D,3,FALSE), "")</f>
        <v/>
      </c>
    </row>
    <row r="293" spans="4:4" ht="15.75" x14ac:dyDescent="0.25">
      <c r="D293" s="12" t="str">
        <f>IFERROR(VLOOKUP(A293,'⚖️ Balance à importer'!A:D,4,FALSE) - VLOOKUP(A293,'⚖️ Balance à importer'!A:D,3,FALSE), "")</f>
        <v/>
      </c>
    </row>
    <row r="294" spans="4:4" ht="15.75" x14ac:dyDescent="0.25">
      <c r="D294" s="12" t="str">
        <f>IFERROR(VLOOKUP(A294,'⚖️ Balance à importer'!A:D,4,FALSE) - VLOOKUP(A294,'⚖️ Balance à importer'!A:D,3,FALSE), "")</f>
        <v/>
      </c>
    </row>
    <row r="295" spans="4:4" ht="15.75" x14ac:dyDescent="0.25">
      <c r="D295" s="12" t="str">
        <f>IFERROR(VLOOKUP(A295,'⚖️ Balance à importer'!A:D,4,FALSE) - VLOOKUP(A295,'⚖️ Balance à importer'!A:D,3,FALSE), "")</f>
        <v/>
      </c>
    </row>
    <row r="296" spans="4:4" ht="15.75" x14ac:dyDescent="0.25">
      <c r="D296" s="12" t="str">
        <f>IFERROR(VLOOKUP(A296,'⚖️ Balance à importer'!A:D,4,FALSE) - VLOOKUP(A296,'⚖️ Balance à importer'!A:D,3,FALSE), "")</f>
        <v/>
      </c>
    </row>
    <row r="297" spans="4:4" ht="15.75" x14ac:dyDescent="0.25">
      <c r="D297" s="12" t="str">
        <f>IFERROR(VLOOKUP(A297,'⚖️ Balance à importer'!A:D,4,FALSE) - VLOOKUP(A297,'⚖️ Balance à importer'!A:D,3,FALSE), "")</f>
        <v/>
      </c>
    </row>
    <row r="298" spans="4:4" ht="15.75" x14ac:dyDescent="0.25">
      <c r="D298" s="12" t="str">
        <f>IFERROR(VLOOKUP(A298,'⚖️ Balance à importer'!A:D,4,FALSE) - VLOOKUP(A298,'⚖️ Balance à importer'!A:D,3,FALSE), "")</f>
        <v/>
      </c>
    </row>
    <row r="299" spans="4:4" ht="15.75" x14ac:dyDescent="0.25">
      <c r="D299" s="12" t="str">
        <f>IFERROR(VLOOKUP(A299,'⚖️ Balance à importer'!A:D,4,FALSE) - VLOOKUP(A299,'⚖️ Balance à importer'!A:D,3,FALSE), "")</f>
        <v/>
      </c>
    </row>
    <row r="300" spans="4:4" ht="15.75" x14ac:dyDescent="0.25">
      <c r="D300" s="12" t="str">
        <f>IFERROR(VLOOKUP(A300,'⚖️ Balance à importer'!A:D,4,FALSE) - VLOOKUP(A300,'⚖️ Balance à importer'!A:D,3,FALSE), "")</f>
        <v/>
      </c>
    </row>
    <row r="301" spans="4:4" ht="15.75" x14ac:dyDescent="0.25">
      <c r="D301" s="12" t="str">
        <f>IFERROR(VLOOKUP(A301,'⚖️ Balance à importer'!A:D,4,FALSE) - VLOOKUP(A301,'⚖️ Balance à importer'!A:D,3,FALSE), "")</f>
        <v/>
      </c>
    </row>
    <row r="302" spans="4:4" ht="15.75" x14ac:dyDescent="0.25">
      <c r="D302" s="12" t="str">
        <f>IFERROR(VLOOKUP(A302,'⚖️ Balance à importer'!A:D,4,FALSE) - VLOOKUP(A302,'⚖️ Balance à importer'!A:D,3,FALSE), "")</f>
        <v/>
      </c>
    </row>
    <row r="303" spans="4:4" ht="15.75" x14ac:dyDescent="0.25">
      <c r="D303" s="12" t="str">
        <f>IFERROR(VLOOKUP(A303,'⚖️ Balance à importer'!A:D,4,FALSE) - VLOOKUP(A303,'⚖️ Balance à importer'!A:D,3,FALSE), "")</f>
        <v/>
      </c>
    </row>
    <row r="304" spans="4:4" ht="15.75" x14ac:dyDescent="0.25">
      <c r="D304" s="12" t="str">
        <f>IFERROR(VLOOKUP(A304,'⚖️ Balance à importer'!A:D,4,FALSE) - VLOOKUP(A304,'⚖️ Balance à importer'!A:D,3,FALSE), "")</f>
        <v/>
      </c>
    </row>
    <row r="305" spans="4:4" ht="15.75" x14ac:dyDescent="0.25">
      <c r="D305" s="12" t="str">
        <f>IFERROR(VLOOKUP(A305,'⚖️ Balance à importer'!A:D,4,FALSE) - VLOOKUP(A305,'⚖️ Balance à importer'!A:D,3,FALSE), "")</f>
        <v/>
      </c>
    </row>
    <row r="306" spans="4:4" ht="15.75" x14ac:dyDescent="0.25">
      <c r="D306" s="12" t="str">
        <f>IFERROR(VLOOKUP(A306,'⚖️ Balance à importer'!A:D,4,FALSE) - VLOOKUP(A306,'⚖️ Balance à importer'!A:D,3,FALSE), "")</f>
        <v/>
      </c>
    </row>
    <row r="307" spans="4:4" ht="15.75" x14ac:dyDescent="0.25">
      <c r="D307" s="12" t="str">
        <f>IFERROR(VLOOKUP(A307,'⚖️ Balance à importer'!A:D,4,FALSE) - VLOOKUP(A307,'⚖️ Balance à importer'!A:D,3,FALSE), "")</f>
        <v/>
      </c>
    </row>
    <row r="308" spans="4:4" ht="15.75" x14ac:dyDescent="0.25">
      <c r="D308" s="12" t="str">
        <f>IFERROR(VLOOKUP(A308,'⚖️ Balance à importer'!A:D,4,FALSE) - VLOOKUP(A308,'⚖️ Balance à importer'!A:D,3,FALSE), "")</f>
        <v/>
      </c>
    </row>
    <row r="309" spans="4:4" ht="15.75" x14ac:dyDescent="0.25">
      <c r="D309" s="12" t="str">
        <f>IFERROR(VLOOKUP(A309,'⚖️ Balance à importer'!A:D,4,FALSE) - VLOOKUP(A309,'⚖️ Balance à importer'!A:D,3,FALSE), "")</f>
        <v/>
      </c>
    </row>
    <row r="310" spans="4:4" ht="15.75" x14ac:dyDescent="0.25">
      <c r="D310" s="12" t="str">
        <f>IFERROR(VLOOKUP(A310,'⚖️ Balance à importer'!A:D,4,FALSE) - VLOOKUP(A310,'⚖️ Balance à importer'!A:D,3,FALSE), "")</f>
        <v/>
      </c>
    </row>
    <row r="311" spans="4:4" ht="15.75" x14ac:dyDescent="0.25">
      <c r="D311" s="12" t="str">
        <f>IFERROR(VLOOKUP(A311,'⚖️ Balance à importer'!A:D,4,FALSE) - VLOOKUP(A311,'⚖️ Balance à importer'!A:D,3,FALSE), "")</f>
        <v/>
      </c>
    </row>
    <row r="312" spans="4:4" ht="15.75" x14ac:dyDescent="0.25">
      <c r="D312" s="12" t="str">
        <f>IFERROR(VLOOKUP(A312,'⚖️ Balance à importer'!A:D,4,FALSE) - VLOOKUP(A312,'⚖️ Balance à importer'!A:D,3,FALSE), "")</f>
        <v/>
      </c>
    </row>
    <row r="313" spans="4:4" ht="15.75" x14ac:dyDescent="0.25">
      <c r="D313" s="12" t="str">
        <f>IFERROR(VLOOKUP(A313,'⚖️ Balance à importer'!A:D,4,FALSE) - VLOOKUP(A313,'⚖️ Balance à importer'!A:D,3,FALSE), "")</f>
        <v/>
      </c>
    </row>
    <row r="314" spans="4:4" ht="15.75" x14ac:dyDescent="0.25">
      <c r="D314" s="12" t="str">
        <f>IFERROR(VLOOKUP(A314,'⚖️ Balance à importer'!A:D,4,FALSE) - VLOOKUP(A314,'⚖️ Balance à importer'!A:D,3,FALSE), "")</f>
        <v/>
      </c>
    </row>
    <row r="315" spans="4:4" ht="15.75" x14ac:dyDescent="0.25">
      <c r="D315" s="12" t="str">
        <f>IFERROR(VLOOKUP(A315,'⚖️ Balance à importer'!A:D,4,FALSE) - VLOOKUP(A315,'⚖️ Balance à importer'!A:D,3,FALSE), "")</f>
        <v/>
      </c>
    </row>
    <row r="316" spans="4:4" ht="15.75" x14ac:dyDescent="0.25">
      <c r="D316" s="12" t="str">
        <f>IFERROR(VLOOKUP(A316,'⚖️ Balance à importer'!A:D,4,FALSE) - VLOOKUP(A316,'⚖️ Balance à importer'!A:D,3,FALSE), "")</f>
        <v/>
      </c>
    </row>
    <row r="317" spans="4:4" ht="15.75" x14ac:dyDescent="0.25">
      <c r="D317" s="12" t="str">
        <f>IFERROR(VLOOKUP(A317,'⚖️ Balance à importer'!A:D,4,FALSE) - VLOOKUP(A317,'⚖️ Balance à importer'!A:D,3,FALSE), "")</f>
        <v/>
      </c>
    </row>
    <row r="318" spans="4:4" ht="15.75" x14ac:dyDescent="0.25">
      <c r="D318" s="12" t="str">
        <f>IFERROR(VLOOKUP(A318,'⚖️ Balance à importer'!A:D,4,FALSE) - VLOOKUP(A318,'⚖️ Balance à importer'!A:D,3,FALSE), "")</f>
        <v/>
      </c>
    </row>
    <row r="319" spans="4:4" ht="15.75" x14ac:dyDescent="0.25">
      <c r="D319" s="12" t="str">
        <f>IFERROR(VLOOKUP(A319,'⚖️ Balance à importer'!A:D,4,FALSE) - VLOOKUP(A319,'⚖️ Balance à importer'!A:D,3,FALSE), "")</f>
        <v/>
      </c>
    </row>
    <row r="320" spans="4:4" ht="15.75" x14ac:dyDescent="0.25">
      <c r="D320" s="12" t="str">
        <f>IFERROR(VLOOKUP(A320,'⚖️ Balance à importer'!A:D,4,FALSE) - VLOOKUP(A320,'⚖️ Balance à importer'!A:D,3,FALSE), "")</f>
        <v/>
      </c>
    </row>
    <row r="321" spans="4:4" ht="15.75" x14ac:dyDescent="0.25">
      <c r="D321" s="12" t="str">
        <f>IFERROR(VLOOKUP(A321,'⚖️ Balance à importer'!A:D,4,FALSE) - VLOOKUP(A321,'⚖️ Balance à importer'!A:D,3,FALSE), "")</f>
        <v/>
      </c>
    </row>
    <row r="322" spans="4:4" ht="15.75" x14ac:dyDescent="0.25">
      <c r="D322" s="12" t="str">
        <f>IFERROR(VLOOKUP(A322,'⚖️ Balance à importer'!A:D,4,FALSE) - VLOOKUP(A322,'⚖️ Balance à importer'!A:D,3,FALSE), "")</f>
        <v/>
      </c>
    </row>
    <row r="323" spans="4:4" ht="15.75" x14ac:dyDescent="0.25">
      <c r="D323" s="12" t="str">
        <f>IFERROR(VLOOKUP(A323,'⚖️ Balance à importer'!A:D,4,FALSE) - VLOOKUP(A323,'⚖️ Balance à importer'!A:D,3,FALSE), "")</f>
        <v/>
      </c>
    </row>
    <row r="324" spans="4:4" ht="15.75" x14ac:dyDescent="0.25">
      <c r="D324" s="12" t="str">
        <f>IFERROR(VLOOKUP(A324,'⚖️ Balance à importer'!A:D,4,FALSE) - VLOOKUP(A324,'⚖️ Balance à importer'!A:D,3,FALSE), "")</f>
        <v/>
      </c>
    </row>
    <row r="325" spans="4:4" ht="15.75" x14ac:dyDescent="0.25">
      <c r="D325" s="12" t="str">
        <f>IFERROR(VLOOKUP(A325,'⚖️ Balance à importer'!A:D,4,FALSE) - VLOOKUP(A325,'⚖️ Balance à importer'!A:D,3,FALSE), "")</f>
        <v/>
      </c>
    </row>
    <row r="326" spans="4:4" ht="15.75" x14ac:dyDescent="0.25">
      <c r="D326" s="12" t="str">
        <f>IFERROR(VLOOKUP(A326,'⚖️ Balance à importer'!A:D,4,FALSE) - VLOOKUP(A326,'⚖️ Balance à importer'!A:D,3,FALSE), "")</f>
        <v/>
      </c>
    </row>
    <row r="327" spans="4:4" ht="15.75" x14ac:dyDescent="0.25">
      <c r="D327" s="12" t="str">
        <f>IFERROR(VLOOKUP(A327,'⚖️ Balance à importer'!A:D,4,FALSE) - VLOOKUP(A327,'⚖️ Balance à importer'!A:D,3,FALSE), "")</f>
        <v/>
      </c>
    </row>
    <row r="328" spans="4:4" ht="15.75" x14ac:dyDescent="0.25">
      <c r="D328" s="12" t="str">
        <f>IFERROR(VLOOKUP(A328,'⚖️ Balance à importer'!A:D,4,FALSE) - VLOOKUP(A328,'⚖️ Balance à importer'!A:D,3,FALSE), "")</f>
        <v/>
      </c>
    </row>
    <row r="329" spans="4:4" ht="15.75" x14ac:dyDescent="0.25">
      <c r="D329" s="12" t="str">
        <f>IFERROR(VLOOKUP(A329,'⚖️ Balance à importer'!A:D,4,FALSE) - VLOOKUP(A329,'⚖️ Balance à importer'!A:D,3,FALSE), "")</f>
        <v/>
      </c>
    </row>
    <row r="330" spans="4:4" ht="15.75" x14ac:dyDescent="0.25">
      <c r="D330" s="12" t="str">
        <f>IFERROR(VLOOKUP(A330,'⚖️ Balance à importer'!A:D,4,FALSE) - VLOOKUP(A330,'⚖️ Balance à importer'!A:D,3,FALSE), "")</f>
        <v/>
      </c>
    </row>
    <row r="331" spans="4:4" ht="15.75" x14ac:dyDescent="0.25">
      <c r="D331" s="12" t="str">
        <f>IFERROR(VLOOKUP(A331,'⚖️ Balance à importer'!A:D,4,FALSE) - VLOOKUP(A331,'⚖️ Balance à importer'!A:D,3,FALSE), "")</f>
        <v/>
      </c>
    </row>
    <row r="332" spans="4:4" ht="15.75" x14ac:dyDescent="0.25">
      <c r="D332" s="12" t="str">
        <f>IFERROR(VLOOKUP(A332,'⚖️ Balance à importer'!A:D,4,FALSE) - VLOOKUP(A332,'⚖️ Balance à importer'!A:D,3,FALSE), "")</f>
        <v/>
      </c>
    </row>
    <row r="333" spans="4:4" ht="15.75" x14ac:dyDescent="0.25">
      <c r="D333" s="12" t="str">
        <f>IFERROR(VLOOKUP(A333,'⚖️ Balance à importer'!A:D,4,FALSE) - VLOOKUP(A333,'⚖️ Balance à importer'!A:D,3,FALSE), "")</f>
        <v/>
      </c>
    </row>
    <row r="334" spans="4:4" ht="15.75" x14ac:dyDescent="0.25">
      <c r="D334" s="12" t="str">
        <f>IFERROR(VLOOKUP(A334,'⚖️ Balance à importer'!A:D,4,FALSE) - VLOOKUP(A334,'⚖️ Balance à importer'!A:D,3,FALSE), "")</f>
        <v/>
      </c>
    </row>
    <row r="335" spans="4:4" ht="15.75" x14ac:dyDescent="0.25">
      <c r="D335" s="12" t="str">
        <f>IFERROR(VLOOKUP(A335,'⚖️ Balance à importer'!A:D,4,FALSE) - VLOOKUP(A335,'⚖️ Balance à importer'!A:D,3,FALSE), "")</f>
        <v/>
      </c>
    </row>
    <row r="336" spans="4:4" ht="15.75" x14ac:dyDescent="0.25">
      <c r="D336" s="12" t="str">
        <f>IFERROR(VLOOKUP(A336,'⚖️ Balance à importer'!A:D,4,FALSE) - VLOOKUP(A336,'⚖️ Balance à importer'!A:D,3,FALSE), "")</f>
        <v/>
      </c>
    </row>
    <row r="337" spans="4:4" ht="15.75" x14ac:dyDescent="0.25">
      <c r="D337" s="12" t="str">
        <f>IFERROR(VLOOKUP(A337,'⚖️ Balance à importer'!A:D,4,FALSE) - VLOOKUP(A337,'⚖️ Balance à importer'!A:D,3,FALSE), "")</f>
        <v/>
      </c>
    </row>
    <row r="338" spans="4:4" ht="15.75" x14ac:dyDescent="0.25">
      <c r="D338" s="12" t="str">
        <f>IFERROR(VLOOKUP(A338,'⚖️ Balance à importer'!A:D,4,FALSE) - VLOOKUP(A338,'⚖️ Balance à importer'!A:D,3,FALSE), "")</f>
        <v/>
      </c>
    </row>
    <row r="339" spans="4:4" ht="15.75" x14ac:dyDescent="0.25">
      <c r="D339" s="12" t="str">
        <f>IFERROR(VLOOKUP(A339,'⚖️ Balance à importer'!A:D,4,FALSE) - VLOOKUP(A339,'⚖️ Balance à importer'!A:D,3,FALSE), "")</f>
        <v/>
      </c>
    </row>
    <row r="340" spans="4:4" ht="15.75" x14ac:dyDescent="0.25">
      <c r="D340" s="12" t="str">
        <f>IFERROR(VLOOKUP(A340,'⚖️ Balance à importer'!A:D,4,FALSE) - VLOOKUP(A340,'⚖️ Balance à importer'!A:D,3,FALSE), "")</f>
        <v/>
      </c>
    </row>
    <row r="341" spans="4:4" ht="15.75" x14ac:dyDescent="0.25">
      <c r="D341" s="12" t="str">
        <f>IFERROR(VLOOKUP(A341,'⚖️ Balance à importer'!A:D,4,FALSE) - VLOOKUP(A341,'⚖️ Balance à importer'!A:D,3,FALSE), "")</f>
        <v/>
      </c>
    </row>
    <row r="342" spans="4:4" ht="15.75" x14ac:dyDescent="0.25">
      <c r="D342" s="12" t="str">
        <f>IFERROR(VLOOKUP(A342,'⚖️ Balance à importer'!A:D,4,FALSE) - VLOOKUP(A342,'⚖️ Balance à importer'!A:D,3,FALSE), "")</f>
        <v/>
      </c>
    </row>
    <row r="343" spans="4:4" ht="15.75" x14ac:dyDescent="0.25">
      <c r="D343" s="12" t="str">
        <f>IFERROR(VLOOKUP(A343,'⚖️ Balance à importer'!A:D,4,FALSE) - VLOOKUP(A343,'⚖️ Balance à importer'!A:D,3,FALSE), "")</f>
        <v/>
      </c>
    </row>
    <row r="344" spans="4:4" ht="15.75" x14ac:dyDescent="0.25">
      <c r="D344" s="12" t="str">
        <f>IFERROR(VLOOKUP(A344,'⚖️ Balance à importer'!A:D,4,FALSE) - VLOOKUP(A344,'⚖️ Balance à importer'!A:D,3,FALSE), "")</f>
        <v/>
      </c>
    </row>
    <row r="345" spans="4:4" ht="15.75" x14ac:dyDescent="0.25">
      <c r="D345" s="12" t="str">
        <f>IFERROR(VLOOKUP(A345,'⚖️ Balance à importer'!A:D,4,FALSE) - VLOOKUP(A345,'⚖️ Balance à importer'!A:D,3,FALSE), "")</f>
        <v/>
      </c>
    </row>
    <row r="346" spans="4:4" ht="15.75" x14ac:dyDescent="0.25">
      <c r="D346" s="12" t="str">
        <f>IFERROR(VLOOKUP(A346,'⚖️ Balance à importer'!A:D,4,FALSE) - VLOOKUP(A346,'⚖️ Balance à importer'!A:D,3,FALSE), "")</f>
        <v/>
      </c>
    </row>
    <row r="347" spans="4:4" ht="15.75" x14ac:dyDescent="0.25">
      <c r="D347" s="12" t="str">
        <f>IFERROR(VLOOKUP(A347,'⚖️ Balance à importer'!A:D,4,FALSE) - VLOOKUP(A347,'⚖️ Balance à importer'!A:D,3,FALSE), "")</f>
        <v/>
      </c>
    </row>
    <row r="348" spans="4:4" ht="15.75" x14ac:dyDescent="0.25">
      <c r="D348" s="12" t="str">
        <f>IFERROR(VLOOKUP(A348,'⚖️ Balance à importer'!A:D,4,FALSE) - VLOOKUP(A348,'⚖️ Balance à importer'!A:D,3,FALSE), "")</f>
        <v/>
      </c>
    </row>
    <row r="349" spans="4:4" ht="15.75" x14ac:dyDescent="0.25">
      <c r="D349" s="12" t="str">
        <f>IFERROR(VLOOKUP(A349,'⚖️ Balance à importer'!A:D,4,FALSE) - VLOOKUP(A349,'⚖️ Balance à importer'!A:D,3,FALSE), "")</f>
        <v/>
      </c>
    </row>
    <row r="350" spans="4:4" ht="15.75" x14ac:dyDescent="0.25">
      <c r="D350" s="12" t="str">
        <f>IFERROR(VLOOKUP(A350,'⚖️ Balance à importer'!A:D,4,FALSE) - VLOOKUP(A350,'⚖️ Balance à importer'!A:D,3,FALSE), "")</f>
        <v/>
      </c>
    </row>
    <row r="351" spans="4:4" ht="15.75" x14ac:dyDescent="0.25">
      <c r="D351" s="12" t="str">
        <f>IFERROR(VLOOKUP(A351,'⚖️ Balance à importer'!A:D,4,FALSE) - VLOOKUP(A351,'⚖️ Balance à importer'!A:D,3,FALSE), "")</f>
        <v/>
      </c>
    </row>
    <row r="352" spans="4:4" ht="15.75" x14ac:dyDescent="0.25">
      <c r="D352" s="12" t="str">
        <f>IFERROR(VLOOKUP(A352,'⚖️ Balance à importer'!A:D,4,FALSE) - VLOOKUP(A352,'⚖️ Balance à importer'!A:D,3,FALSE), "")</f>
        <v/>
      </c>
    </row>
    <row r="353" spans="4:4" ht="15.75" x14ac:dyDescent="0.25">
      <c r="D353" s="12" t="str">
        <f>IFERROR(VLOOKUP(A353,'⚖️ Balance à importer'!A:D,4,FALSE) - VLOOKUP(A353,'⚖️ Balance à importer'!A:D,3,FALSE), "")</f>
        <v/>
      </c>
    </row>
    <row r="354" spans="4:4" ht="15.75" x14ac:dyDescent="0.25">
      <c r="D354" s="12" t="str">
        <f>IFERROR(VLOOKUP(A354,'⚖️ Balance à importer'!A:D,4,FALSE) - VLOOKUP(A354,'⚖️ Balance à importer'!A:D,3,FALSE), "")</f>
        <v/>
      </c>
    </row>
    <row r="355" spans="4:4" ht="15.75" x14ac:dyDescent="0.25">
      <c r="D355" s="12" t="str">
        <f>IFERROR(VLOOKUP(A355,'⚖️ Balance à importer'!A:D,4,FALSE) - VLOOKUP(A355,'⚖️ Balance à importer'!A:D,3,FALSE), "")</f>
        <v/>
      </c>
    </row>
    <row r="356" spans="4:4" ht="15.75" x14ac:dyDescent="0.25">
      <c r="D356" s="12" t="str">
        <f>IFERROR(VLOOKUP(A356,'⚖️ Balance à importer'!A:D,4,FALSE) - VLOOKUP(A356,'⚖️ Balance à importer'!A:D,3,FALSE), "")</f>
        <v/>
      </c>
    </row>
    <row r="357" spans="4:4" ht="15.75" x14ac:dyDescent="0.25">
      <c r="D357" s="12" t="str">
        <f>IFERROR(VLOOKUP(A357,'⚖️ Balance à importer'!A:D,4,FALSE) - VLOOKUP(A357,'⚖️ Balance à importer'!A:D,3,FALSE), "")</f>
        <v/>
      </c>
    </row>
    <row r="358" spans="4:4" ht="15.75" x14ac:dyDescent="0.25">
      <c r="D358" s="12" t="str">
        <f>IFERROR(VLOOKUP(A358,'⚖️ Balance à importer'!A:D,4,FALSE) - VLOOKUP(A358,'⚖️ Balance à importer'!A:D,3,FALSE), "")</f>
        <v/>
      </c>
    </row>
    <row r="359" spans="4:4" ht="15.75" x14ac:dyDescent="0.25">
      <c r="D359" s="12" t="str">
        <f>IFERROR(VLOOKUP(A359,'⚖️ Balance à importer'!A:D,4,FALSE) - VLOOKUP(A359,'⚖️ Balance à importer'!A:D,3,FALSE), "")</f>
        <v/>
      </c>
    </row>
    <row r="360" spans="4:4" ht="15.75" x14ac:dyDescent="0.25">
      <c r="D360" s="12" t="str">
        <f>IFERROR(VLOOKUP(A360,'⚖️ Balance à importer'!A:D,4,FALSE) - VLOOKUP(A360,'⚖️ Balance à importer'!A:D,3,FALSE), "")</f>
        <v/>
      </c>
    </row>
    <row r="361" spans="4:4" ht="15.75" x14ac:dyDescent="0.25">
      <c r="D361" s="12" t="str">
        <f>IFERROR(VLOOKUP(A361,'⚖️ Balance à importer'!A:D,4,FALSE) - VLOOKUP(A361,'⚖️ Balance à importer'!A:D,3,FALSE), "")</f>
        <v/>
      </c>
    </row>
    <row r="362" spans="4:4" ht="15.75" x14ac:dyDescent="0.25">
      <c r="D362" s="12" t="str">
        <f>IFERROR(VLOOKUP(A362,'⚖️ Balance à importer'!A:D,4,FALSE) - VLOOKUP(A362,'⚖️ Balance à importer'!A:D,3,FALSE), "")</f>
        <v/>
      </c>
    </row>
    <row r="363" spans="4:4" ht="15.75" x14ac:dyDescent="0.25">
      <c r="D363" s="12" t="str">
        <f>IFERROR(VLOOKUP(A363,'⚖️ Balance à importer'!A:D,4,FALSE) - VLOOKUP(A363,'⚖️ Balance à importer'!A:D,3,FALSE), "")</f>
        <v/>
      </c>
    </row>
    <row r="364" spans="4:4" ht="15.75" x14ac:dyDescent="0.25">
      <c r="D364" s="12" t="str">
        <f>IFERROR(VLOOKUP(A364,'⚖️ Balance à importer'!A:D,4,FALSE) - VLOOKUP(A364,'⚖️ Balance à importer'!A:D,3,FALSE), "")</f>
        <v/>
      </c>
    </row>
    <row r="365" spans="4:4" ht="15.75" x14ac:dyDescent="0.25">
      <c r="D365" s="12" t="str">
        <f>IFERROR(VLOOKUP(A365,'⚖️ Balance à importer'!A:D,4,FALSE) - VLOOKUP(A365,'⚖️ Balance à importer'!A:D,3,FALSE), "")</f>
        <v/>
      </c>
    </row>
    <row r="366" spans="4:4" ht="15.75" x14ac:dyDescent="0.25">
      <c r="D366" s="12" t="str">
        <f>IFERROR(VLOOKUP(A366,'⚖️ Balance à importer'!A:D,4,FALSE) - VLOOKUP(A366,'⚖️ Balance à importer'!A:D,3,FALSE), "")</f>
        <v/>
      </c>
    </row>
    <row r="367" spans="4:4" ht="15.75" x14ac:dyDescent="0.25">
      <c r="D367" s="12" t="str">
        <f>IFERROR(VLOOKUP(A367,'⚖️ Balance à importer'!A:D,4,FALSE) - VLOOKUP(A367,'⚖️ Balance à importer'!A:D,3,FALSE), "")</f>
        <v/>
      </c>
    </row>
    <row r="368" spans="4:4" ht="15.75" x14ac:dyDescent="0.25">
      <c r="D368" s="12" t="str">
        <f>IFERROR(VLOOKUP(A368,'⚖️ Balance à importer'!A:D,4,FALSE) - VLOOKUP(A368,'⚖️ Balance à importer'!A:D,3,FALSE), "")</f>
        <v/>
      </c>
    </row>
    <row r="369" spans="4:4" ht="15.75" x14ac:dyDescent="0.25">
      <c r="D369" s="12" t="str">
        <f>IFERROR(VLOOKUP(A369,'⚖️ Balance à importer'!A:D,4,FALSE) - VLOOKUP(A369,'⚖️ Balance à importer'!A:D,3,FALSE), "")</f>
        <v/>
      </c>
    </row>
    <row r="370" spans="4:4" ht="15.75" x14ac:dyDescent="0.25">
      <c r="D370" s="12" t="str">
        <f>IFERROR(VLOOKUP(A370,'⚖️ Balance à importer'!A:D,4,FALSE) - VLOOKUP(A370,'⚖️ Balance à importer'!A:D,3,FALSE), "")</f>
        <v/>
      </c>
    </row>
    <row r="371" spans="4:4" ht="15.75" x14ac:dyDescent="0.25">
      <c r="D371" s="12" t="str">
        <f>IFERROR(VLOOKUP(A371,'⚖️ Balance à importer'!A:D,4,FALSE) - VLOOKUP(A371,'⚖️ Balance à importer'!A:D,3,FALSE), "")</f>
        <v/>
      </c>
    </row>
    <row r="372" spans="4:4" ht="15.75" x14ac:dyDescent="0.25">
      <c r="D372" s="12" t="str">
        <f>IFERROR(VLOOKUP(A372,'⚖️ Balance à importer'!A:D,4,FALSE) - VLOOKUP(A372,'⚖️ Balance à importer'!A:D,3,FALSE), "")</f>
        <v/>
      </c>
    </row>
    <row r="373" spans="4:4" ht="15.75" x14ac:dyDescent="0.25">
      <c r="D373" s="12" t="str">
        <f>IFERROR(VLOOKUP(A373,'⚖️ Balance à importer'!A:D,4,FALSE) - VLOOKUP(A373,'⚖️ Balance à importer'!A:D,3,FALSE), "")</f>
        <v/>
      </c>
    </row>
    <row r="374" spans="4:4" ht="15.75" x14ac:dyDescent="0.25">
      <c r="D374" s="12" t="str">
        <f>IFERROR(VLOOKUP(A374,'⚖️ Balance à importer'!A:D,4,FALSE) - VLOOKUP(A374,'⚖️ Balance à importer'!A:D,3,FALSE), "")</f>
        <v/>
      </c>
    </row>
    <row r="375" spans="4:4" ht="15.75" x14ac:dyDescent="0.25">
      <c r="D375" s="12" t="str">
        <f>IFERROR(VLOOKUP(A375,'⚖️ Balance à importer'!A:D,4,FALSE) - VLOOKUP(A375,'⚖️ Balance à importer'!A:D,3,FALSE), "")</f>
        <v/>
      </c>
    </row>
    <row r="376" spans="4:4" ht="15.75" x14ac:dyDescent="0.25">
      <c r="D376" s="12" t="str">
        <f>IFERROR(VLOOKUP(A376,'⚖️ Balance à importer'!A:D,4,FALSE) - VLOOKUP(A376,'⚖️ Balance à importer'!A:D,3,FALSE), "")</f>
        <v/>
      </c>
    </row>
    <row r="377" spans="4:4" ht="15.75" x14ac:dyDescent="0.25">
      <c r="D377" s="12" t="str">
        <f>IFERROR(VLOOKUP(A377,'⚖️ Balance à importer'!A:D,4,FALSE) - VLOOKUP(A377,'⚖️ Balance à importer'!A:D,3,FALSE), "")</f>
        <v/>
      </c>
    </row>
    <row r="378" spans="4:4" ht="15.75" x14ac:dyDescent="0.25">
      <c r="D378" s="12" t="str">
        <f>IFERROR(VLOOKUP(A378,'⚖️ Balance à importer'!A:D,4,FALSE) - VLOOKUP(A378,'⚖️ Balance à importer'!A:D,3,FALSE), "")</f>
        <v/>
      </c>
    </row>
    <row r="379" spans="4:4" ht="15.75" x14ac:dyDescent="0.25">
      <c r="D379" s="12" t="str">
        <f>IFERROR(VLOOKUP(A379,'⚖️ Balance à importer'!A:D,4,FALSE) - VLOOKUP(A379,'⚖️ Balance à importer'!A:D,3,FALSE), "")</f>
        <v/>
      </c>
    </row>
    <row r="380" spans="4:4" ht="15.75" x14ac:dyDescent="0.25">
      <c r="D380" s="12" t="str">
        <f>IFERROR(VLOOKUP(A380,'⚖️ Balance à importer'!A:D,4,FALSE) - VLOOKUP(A380,'⚖️ Balance à importer'!A:D,3,FALSE), "")</f>
        <v/>
      </c>
    </row>
    <row r="381" spans="4:4" ht="15.75" x14ac:dyDescent="0.25">
      <c r="D381" s="12" t="str">
        <f>IFERROR(VLOOKUP(A381,'⚖️ Balance à importer'!A:D,4,FALSE) - VLOOKUP(A381,'⚖️ Balance à importer'!A:D,3,FALSE), "")</f>
        <v/>
      </c>
    </row>
    <row r="382" spans="4:4" ht="15.75" x14ac:dyDescent="0.25">
      <c r="D382" s="12" t="str">
        <f>IFERROR(VLOOKUP(A382,'⚖️ Balance à importer'!A:D,4,FALSE) - VLOOKUP(A382,'⚖️ Balance à importer'!A:D,3,FALSE), "")</f>
        <v/>
      </c>
    </row>
    <row r="383" spans="4:4" ht="15.75" x14ac:dyDescent="0.25">
      <c r="D383" s="12" t="str">
        <f>IFERROR(VLOOKUP(A383,'⚖️ Balance à importer'!A:D,4,FALSE) - VLOOKUP(A383,'⚖️ Balance à importer'!A:D,3,FALSE), "")</f>
        <v/>
      </c>
    </row>
    <row r="384" spans="4:4" ht="15.75" x14ac:dyDescent="0.25">
      <c r="D384" s="12" t="str">
        <f>IFERROR(VLOOKUP(A384,'⚖️ Balance à importer'!A:D,4,FALSE) - VLOOKUP(A384,'⚖️ Balance à importer'!A:D,3,FALSE), "")</f>
        <v/>
      </c>
    </row>
    <row r="385" spans="4:4" ht="15.75" x14ac:dyDescent="0.25">
      <c r="D385" s="12" t="str">
        <f>IFERROR(VLOOKUP(A385,'⚖️ Balance à importer'!A:D,4,FALSE) - VLOOKUP(A385,'⚖️ Balance à importer'!A:D,3,FALSE), "")</f>
        <v/>
      </c>
    </row>
    <row r="386" spans="4:4" ht="15.75" x14ac:dyDescent="0.25">
      <c r="D386" s="12" t="str">
        <f>IFERROR(VLOOKUP(A386,'⚖️ Balance à importer'!A:D,4,FALSE) - VLOOKUP(A386,'⚖️ Balance à importer'!A:D,3,FALSE), "")</f>
        <v/>
      </c>
    </row>
    <row r="387" spans="4:4" ht="15.75" x14ac:dyDescent="0.25">
      <c r="D387" s="12" t="str">
        <f>IFERROR(VLOOKUP(A387,'⚖️ Balance à importer'!A:D,4,FALSE) - VLOOKUP(A387,'⚖️ Balance à importer'!A:D,3,FALSE), "")</f>
        <v/>
      </c>
    </row>
    <row r="388" spans="4:4" ht="15.75" x14ac:dyDescent="0.25">
      <c r="D388" s="12" t="str">
        <f>IFERROR(VLOOKUP(A388,'⚖️ Balance à importer'!A:D,4,FALSE) - VLOOKUP(A388,'⚖️ Balance à importer'!A:D,3,FALSE), "")</f>
        <v/>
      </c>
    </row>
    <row r="389" spans="4:4" ht="15.75" x14ac:dyDescent="0.25">
      <c r="D389" s="12" t="str">
        <f>IFERROR(VLOOKUP(A389,'⚖️ Balance à importer'!A:D,4,FALSE) - VLOOKUP(A389,'⚖️ Balance à importer'!A:D,3,FALSE), "")</f>
        <v/>
      </c>
    </row>
    <row r="390" spans="4:4" ht="15.75" x14ac:dyDescent="0.25">
      <c r="D390" s="12" t="str">
        <f>IFERROR(VLOOKUP(A390,'⚖️ Balance à importer'!A:D,4,FALSE) - VLOOKUP(A390,'⚖️ Balance à importer'!A:D,3,FALSE), "")</f>
        <v/>
      </c>
    </row>
    <row r="391" spans="4:4" ht="15.75" x14ac:dyDescent="0.25">
      <c r="D391" s="12" t="str">
        <f>IFERROR(VLOOKUP(A391,'⚖️ Balance à importer'!A:D,4,FALSE) - VLOOKUP(A391,'⚖️ Balance à importer'!A:D,3,FALSE), "")</f>
        <v/>
      </c>
    </row>
    <row r="392" spans="4:4" ht="15.75" x14ac:dyDescent="0.25">
      <c r="D392" s="12" t="str">
        <f>IFERROR(VLOOKUP(A392,'⚖️ Balance à importer'!A:D,4,FALSE) - VLOOKUP(A392,'⚖️ Balance à importer'!A:D,3,FALSE), "")</f>
        <v/>
      </c>
    </row>
    <row r="393" spans="4:4" ht="15.75" x14ac:dyDescent="0.25">
      <c r="D393" s="12" t="str">
        <f>IFERROR(VLOOKUP(A393,'⚖️ Balance à importer'!A:D,4,FALSE) - VLOOKUP(A393,'⚖️ Balance à importer'!A:D,3,FALSE), "")</f>
        <v/>
      </c>
    </row>
    <row r="394" spans="4:4" ht="15.75" x14ac:dyDescent="0.25">
      <c r="D394" s="12" t="str">
        <f>IFERROR(VLOOKUP(A394,'⚖️ Balance à importer'!A:D,4,FALSE) - VLOOKUP(A394,'⚖️ Balance à importer'!A:D,3,FALSE), "")</f>
        <v/>
      </c>
    </row>
    <row r="395" spans="4:4" ht="15.75" x14ac:dyDescent="0.25">
      <c r="D395" s="12" t="str">
        <f>IFERROR(VLOOKUP(A395,'⚖️ Balance à importer'!A:D,4,FALSE) - VLOOKUP(A395,'⚖️ Balance à importer'!A:D,3,FALSE), "")</f>
        <v/>
      </c>
    </row>
    <row r="396" spans="4:4" ht="15.75" x14ac:dyDescent="0.25">
      <c r="D396" s="12" t="str">
        <f>IFERROR(VLOOKUP(A396,'⚖️ Balance à importer'!A:D,4,FALSE) - VLOOKUP(A396,'⚖️ Balance à importer'!A:D,3,FALSE), "")</f>
        <v/>
      </c>
    </row>
    <row r="397" spans="4:4" ht="15.75" x14ac:dyDescent="0.25">
      <c r="D397" s="12" t="str">
        <f>IFERROR(VLOOKUP(A397,'⚖️ Balance à importer'!A:D,4,FALSE) - VLOOKUP(A397,'⚖️ Balance à importer'!A:D,3,FALSE), "")</f>
        <v/>
      </c>
    </row>
    <row r="398" spans="4:4" ht="15.75" x14ac:dyDescent="0.25">
      <c r="D398" s="12" t="str">
        <f>IFERROR(VLOOKUP(A398,'⚖️ Balance à importer'!A:D,4,FALSE) - VLOOKUP(A398,'⚖️ Balance à importer'!A:D,3,FALSE), "")</f>
        <v/>
      </c>
    </row>
    <row r="399" spans="4:4" ht="15.75" x14ac:dyDescent="0.25">
      <c r="D399" s="12" t="str">
        <f>IFERROR(VLOOKUP(A399,'⚖️ Balance à importer'!A:D,4,FALSE) - VLOOKUP(A399,'⚖️ Balance à importer'!A:D,3,FALSE), "")</f>
        <v/>
      </c>
    </row>
    <row r="400" spans="4:4" ht="15.75" x14ac:dyDescent="0.25">
      <c r="D400" s="12" t="str">
        <f>IFERROR(VLOOKUP(A400,'⚖️ Balance à importer'!A:D,4,FALSE) - VLOOKUP(A400,'⚖️ Balance à importer'!A:D,3,FALSE), "")</f>
        <v/>
      </c>
    </row>
    <row r="401" spans="4:4" ht="15.75" x14ac:dyDescent="0.25">
      <c r="D401" s="12" t="str">
        <f>IFERROR(VLOOKUP(A401,'⚖️ Balance à importer'!A:D,4,FALSE) - VLOOKUP(A401,'⚖️ Balance à importer'!A:D,3,FALSE), "")</f>
        <v/>
      </c>
    </row>
    <row r="402" spans="4:4" ht="15.75" x14ac:dyDescent="0.25">
      <c r="D402" s="12" t="str">
        <f>IFERROR(VLOOKUP(A402,'⚖️ Balance à importer'!A:D,4,FALSE) - VLOOKUP(A402,'⚖️ Balance à importer'!A:D,3,FALSE), "")</f>
        <v/>
      </c>
    </row>
    <row r="403" spans="4:4" ht="15.75" x14ac:dyDescent="0.25">
      <c r="D403" s="12" t="str">
        <f>IFERROR(VLOOKUP(A403,'⚖️ Balance à importer'!A:D,4,FALSE) - VLOOKUP(A403,'⚖️ Balance à importer'!A:D,3,FALSE), "")</f>
        <v/>
      </c>
    </row>
    <row r="404" spans="4:4" ht="15.75" x14ac:dyDescent="0.25">
      <c r="D404" s="12" t="str">
        <f>IFERROR(VLOOKUP(A404,'⚖️ Balance à importer'!A:D,4,FALSE) - VLOOKUP(A404,'⚖️ Balance à importer'!A:D,3,FALSE), "")</f>
        <v/>
      </c>
    </row>
    <row r="405" spans="4:4" ht="15.75" x14ac:dyDescent="0.25">
      <c r="D405" s="12" t="str">
        <f>IFERROR(VLOOKUP(A405,'⚖️ Balance à importer'!A:D,4,FALSE) - VLOOKUP(A405,'⚖️ Balance à importer'!A:D,3,FALSE), "")</f>
        <v/>
      </c>
    </row>
    <row r="406" spans="4:4" ht="15.75" x14ac:dyDescent="0.25">
      <c r="D406" s="12" t="str">
        <f>IFERROR(VLOOKUP(A406,'⚖️ Balance à importer'!A:D,4,FALSE) - VLOOKUP(A406,'⚖️ Balance à importer'!A:D,3,FALSE), "")</f>
        <v/>
      </c>
    </row>
    <row r="407" spans="4:4" ht="15.75" x14ac:dyDescent="0.25">
      <c r="D407" s="12" t="str">
        <f>IFERROR(VLOOKUP(A407,'⚖️ Balance à importer'!A:D,4,FALSE) - VLOOKUP(A407,'⚖️ Balance à importer'!A:D,3,FALSE), "")</f>
        <v/>
      </c>
    </row>
    <row r="408" spans="4:4" ht="15.75" x14ac:dyDescent="0.25">
      <c r="D408" s="12" t="str">
        <f>IFERROR(VLOOKUP(A408,'⚖️ Balance à importer'!A:D,4,FALSE) - VLOOKUP(A408,'⚖️ Balance à importer'!A:D,3,FALSE), "")</f>
        <v/>
      </c>
    </row>
    <row r="409" spans="4:4" ht="15.75" x14ac:dyDescent="0.25">
      <c r="D409" s="12" t="str">
        <f>IFERROR(VLOOKUP(A409,'⚖️ Balance à importer'!A:D,4,FALSE) - VLOOKUP(A409,'⚖️ Balance à importer'!A:D,3,FALSE), "")</f>
        <v/>
      </c>
    </row>
    <row r="410" spans="4:4" ht="15.75" x14ac:dyDescent="0.25">
      <c r="D410" s="12" t="str">
        <f>IFERROR(VLOOKUP(A410,'⚖️ Balance à importer'!A:D,4,FALSE) - VLOOKUP(A410,'⚖️ Balance à importer'!A:D,3,FALSE), "")</f>
        <v/>
      </c>
    </row>
    <row r="411" spans="4:4" ht="15.75" x14ac:dyDescent="0.25">
      <c r="D411" s="12" t="str">
        <f>IFERROR(VLOOKUP(A411,'⚖️ Balance à importer'!A:D,4,FALSE) - VLOOKUP(A411,'⚖️ Balance à importer'!A:D,3,FALSE), "")</f>
        <v/>
      </c>
    </row>
    <row r="412" spans="4:4" ht="15.75" x14ac:dyDescent="0.25">
      <c r="D412" s="12" t="str">
        <f>IFERROR(VLOOKUP(A412,'⚖️ Balance à importer'!A:D,4,FALSE) - VLOOKUP(A412,'⚖️ Balance à importer'!A:D,3,FALSE), "")</f>
        <v/>
      </c>
    </row>
    <row r="413" spans="4:4" ht="15.75" x14ac:dyDescent="0.25">
      <c r="D413" s="12" t="str">
        <f>IFERROR(VLOOKUP(A413,'⚖️ Balance à importer'!A:D,4,FALSE) - VLOOKUP(A413,'⚖️ Balance à importer'!A:D,3,FALSE), "")</f>
        <v/>
      </c>
    </row>
    <row r="414" spans="4:4" ht="15.75" x14ac:dyDescent="0.25">
      <c r="D414" s="12" t="str">
        <f>IFERROR(VLOOKUP(A414,'⚖️ Balance à importer'!A:D,4,FALSE) - VLOOKUP(A414,'⚖️ Balance à importer'!A:D,3,FALSE), "")</f>
        <v/>
      </c>
    </row>
    <row r="415" spans="4:4" ht="15.75" x14ac:dyDescent="0.25">
      <c r="D415" s="12" t="str">
        <f>IFERROR(VLOOKUP(A415,'⚖️ Balance à importer'!A:D,4,FALSE) - VLOOKUP(A415,'⚖️ Balance à importer'!A:D,3,FALSE), "")</f>
        <v/>
      </c>
    </row>
    <row r="416" spans="4:4" ht="15.75" x14ac:dyDescent="0.25">
      <c r="D416" s="12" t="str">
        <f>IFERROR(VLOOKUP(A416,'⚖️ Balance à importer'!A:D,4,FALSE) - VLOOKUP(A416,'⚖️ Balance à importer'!A:D,3,FALSE), "")</f>
        <v/>
      </c>
    </row>
    <row r="417" spans="4:4" ht="15.75" x14ac:dyDescent="0.25">
      <c r="D417" s="12" t="str">
        <f>IFERROR(VLOOKUP(A417,'⚖️ Balance à importer'!A:D,4,FALSE) - VLOOKUP(A417,'⚖️ Balance à importer'!A:D,3,FALSE), "")</f>
        <v/>
      </c>
    </row>
    <row r="418" spans="4:4" ht="15.75" x14ac:dyDescent="0.25">
      <c r="D418" s="12" t="str">
        <f>IFERROR(VLOOKUP(A418,'⚖️ Balance à importer'!A:D,4,FALSE) - VLOOKUP(A418,'⚖️ Balance à importer'!A:D,3,FALSE), "")</f>
        <v/>
      </c>
    </row>
    <row r="419" spans="4:4" ht="15.75" x14ac:dyDescent="0.25">
      <c r="D419" s="12" t="str">
        <f>IFERROR(VLOOKUP(A419,'⚖️ Balance à importer'!A:D,4,FALSE) - VLOOKUP(A419,'⚖️ Balance à importer'!A:D,3,FALSE), "")</f>
        <v/>
      </c>
    </row>
    <row r="420" spans="4:4" ht="15.75" x14ac:dyDescent="0.25">
      <c r="D420" s="12" t="str">
        <f>IFERROR(VLOOKUP(A420,'⚖️ Balance à importer'!A:D,4,FALSE) - VLOOKUP(A420,'⚖️ Balance à importer'!A:D,3,FALSE), "")</f>
        <v/>
      </c>
    </row>
    <row r="421" spans="4:4" ht="15.75" x14ac:dyDescent="0.25">
      <c r="D421" s="12" t="str">
        <f>IFERROR(VLOOKUP(A421,'⚖️ Balance à importer'!A:D,4,FALSE) - VLOOKUP(A421,'⚖️ Balance à importer'!A:D,3,FALSE), "")</f>
        <v/>
      </c>
    </row>
    <row r="422" spans="4:4" ht="15.75" x14ac:dyDescent="0.25">
      <c r="D422" s="12" t="str">
        <f>IFERROR(VLOOKUP(A422,'⚖️ Balance à importer'!A:D,4,FALSE) - VLOOKUP(A422,'⚖️ Balance à importer'!A:D,3,FALSE), "")</f>
        <v/>
      </c>
    </row>
    <row r="423" spans="4:4" ht="15.75" x14ac:dyDescent="0.25">
      <c r="D423" s="12" t="str">
        <f>IFERROR(VLOOKUP(A423,'⚖️ Balance à importer'!A:D,4,FALSE) - VLOOKUP(A423,'⚖️ Balance à importer'!A:D,3,FALSE), "")</f>
        <v/>
      </c>
    </row>
    <row r="424" spans="4:4" ht="15.75" x14ac:dyDescent="0.25">
      <c r="D424" s="12" t="str">
        <f>IFERROR(VLOOKUP(A424,'⚖️ Balance à importer'!A:D,4,FALSE) - VLOOKUP(A424,'⚖️ Balance à importer'!A:D,3,FALSE), "")</f>
        <v/>
      </c>
    </row>
    <row r="425" spans="4:4" ht="15.75" x14ac:dyDescent="0.25">
      <c r="D425" s="12" t="str">
        <f>IFERROR(VLOOKUP(A425,'⚖️ Balance à importer'!A:D,4,FALSE) - VLOOKUP(A425,'⚖️ Balance à importer'!A:D,3,FALSE), "")</f>
        <v/>
      </c>
    </row>
    <row r="426" spans="4:4" ht="15.75" x14ac:dyDescent="0.25">
      <c r="D426" s="12" t="str">
        <f>IFERROR(VLOOKUP(A426,'⚖️ Balance à importer'!A:D,4,FALSE) - VLOOKUP(A426,'⚖️ Balance à importer'!A:D,3,FALSE), "")</f>
        <v/>
      </c>
    </row>
    <row r="427" spans="4:4" ht="15.75" x14ac:dyDescent="0.25">
      <c r="D427" s="12" t="str">
        <f>IFERROR(VLOOKUP(A427,'⚖️ Balance à importer'!A:D,4,FALSE) - VLOOKUP(A427,'⚖️ Balance à importer'!A:D,3,FALSE), "")</f>
        <v/>
      </c>
    </row>
    <row r="428" spans="4:4" ht="15.75" x14ac:dyDescent="0.25">
      <c r="D428" s="12" t="str">
        <f>IFERROR(VLOOKUP(A428,'⚖️ Balance à importer'!A:D,4,FALSE) - VLOOKUP(A428,'⚖️ Balance à importer'!A:D,3,FALSE), "")</f>
        <v/>
      </c>
    </row>
    <row r="429" spans="4:4" ht="15.75" x14ac:dyDescent="0.25">
      <c r="D429" s="12" t="str">
        <f>IFERROR(VLOOKUP(A429,'⚖️ Balance à importer'!A:D,4,FALSE) - VLOOKUP(A429,'⚖️ Balance à importer'!A:D,3,FALSE), "")</f>
        <v/>
      </c>
    </row>
    <row r="430" spans="4:4" ht="15.75" x14ac:dyDescent="0.25">
      <c r="D430" s="12" t="str">
        <f>IFERROR(VLOOKUP(A430,'⚖️ Balance à importer'!A:D,4,FALSE) - VLOOKUP(A430,'⚖️ Balance à importer'!A:D,3,FALSE), "")</f>
        <v/>
      </c>
    </row>
    <row r="431" spans="4:4" ht="15.75" x14ac:dyDescent="0.25">
      <c r="D431" s="12" t="str">
        <f>IFERROR(VLOOKUP(A431,'⚖️ Balance à importer'!A:D,4,FALSE) - VLOOKUP(A431,'⚖️ Balance à importer'!A:D,3,FALSE), "")</f>
        <v/>
      </c>
    </row>
    <row r="432" spans="4:4" ht="15.75" x14ac:dyDescent="0.25">
      <c r="D432" s="12" t="str">
        <f>IFERROR(VLOOKUP(A432,'⚖️ Balance à importer'!A:D,4,FALSE) - VLOOKUP(A432,'⚖️ Balance à importer'!A:D,3,FALSE), "")</f>
        <v/>
      </c>
    </row>
    <row r="433" spans="4:4" ht="15.75" x14ac:dyDescent="0.25">
      <c r="D433" s="12" t="str">
        <f>IFERROR(VLOOKUP(A433,'⚖️ Balance à importer'!A:D,4,FALSE) - VLOOKUP(A433,'⚖️ Balance à importer'!A:D,3,FALSE), "")</f>
        <v/>
      </c>
    </row>
    <row r="434" spans="4:4" ht="15.75" x14ac:dyDescent="0.25">
      <c r="D434" s="12" t="str">
        <f>IFERROR(VLOOKUP(A434,'⚖️ Balance à importer'!A:D,4,FALSE) - VLOOKUP(A434,'⚖️ Balance à importer'!A:D,3,FALSE), "")</f>
        <v/>
      </c>
    </row>
    <row r="435" spans="4:4" ht="15.75" x14ac:dyDescent="0.25">
      <c r="D435" s="12" t="str">
        <f>IFERROR(VLOOKUP(A435,'⚖️ Balance à importer'!A:D,4,FALSE) - VLOOKUP(A435,'⚖️ Balance à importer'!A:D,3,FALSE), "")</f>
        <v/>
      </c>
    </row>
    <row r="436" spans="4:4" ht="15.75" x14ac:dyDescent="0.25">
      <c r="D436" s="12" t="str">
        <f>IFERROR(VLOOKUP(A436,'⚖️ Balance à importer'!A:D,4,FALSE) - VLOOKUP(A436,'⚖️ Balance à importer'!A:D,3,FALSE), "")</f>
        <v/>
      </c>
    </row>
    <row r="437" spans="4:4" ht="15.75" x14ac:dyDescent="0.25">
      <c r="D437" s="12" t="str">
        <f>IFERROR(VLOOKUP(A437,'⚖️ Balance à importer'!A:D,4,FALSE) - VLOOKUP(A437,'⚖️ Balance à importer'!A:D,3,FALSE), "")</f>
        <v/>
      </c>
    </row>
    <row r="438" spans="4:4" ht="15.75" x14ac:dyDescent="0.25">
      <c r="D438" s="12" t="str">
        <f>IFERROR(VLOOKUP(A438,'⚖️ Balance à importer'!A:D,4,FALSE) - VLOOKUP(A438,'⚖️ Balance à importer'!A:D,3,FALSE), "")</f>
        <v/>
      </c>
    </row>
    <row r="439" spans="4:4" ht="15.75" x14ac:dyDescent="0.25">
      <c r="D439" s="12" t="str">
        <f>IFERROR(VLOOKUP(A439,'⚖️ Balance à importer'!A:D,4,FALSE) - VLOOKUP(A439,'⚖️ Balance à importer'!A:D,3,FALSE), "")</f>
        <v/>
      </c>
    </row>
    <row r="440" spans="4:4" ht="15.75" x14ac:dyDescent="0.25">
      <c r="D440" s="12" t="str">
        <f>IFERROR(VLOOKUP(A440,'⚖️ Balance à importer'!A:D,4,FALSE) - VLOOKUP(A440,'⚖️ Balance à importer'!A:D,3,FALSE), "")</f>
        <v/>
      </c>
    </row>
    <row r="441" spans="4:4" ht="15.75" x14ac:dyDescent="0.25">
      <c r="D441" s="12" t="str">
        <f>IFERROR(VLOOKUP(A441,'⚖️ Balance à importer'!A:D,4,FALSE) - VLOOKUP(A441,'⚖️ Balance à importer'!A:D,3,FALSE), "")</f>
        <v/>
      </c>
    </row>
    <row r="442" spans="4:4" ht="15.75" x14ac:dyDescent="0.25">
      <c r="D442" s="12" t="str">
        <f>IFERROR(VLOOKUP(A442,'⚖️ Balance à importer'!A:D,4,FALSE) - VLOOKUP(A442,'⚖️ Balance à importer'!A:D,3,FALSE), "")</f>
        <v/>
      </c>
    </row>
    <row r="443" spans="4:4" ht="15.75" x14ac:dyDescent="0.25">
      <c r="D443" s="12" t="str">
        <f>IFERROR(VLOOKUP(A443,'⚖️ Balance à importer'!A:D,4,FALSE) - VLOOKUP(A443,'⚖️ Balance à importer'!A:D,3,FALSE), "")</f>
        <v/>
      </c>
    </row>
    <row r="444" spans="4:4" ht="15.75" x14ac:dyDescent="0.25">
      <c r="D444" s="12" t="str">
        <f>IFERROR(VLOOKUP(A444,'⚖️ Balance à importer'!A:D,4,FALSE) - VLOOKUP(A444,'⚖️ Balance à importer'!A:D,3,FALSE), "")</f>
        <v/>
      </c>
    </row>
    <row r="445" spans="4:4" ht="15.75" x14ac:dyDescent="0.25">
      <c r="D445" s="12" t="str">
        <f>IFERROR(VLOOKUP(A445,'⚖️ Balance à importer'!A:D,4,FALSE) - VLOOKUP(A445,'⚖️ Balance à importer'!A:D,3,FALSE), "")</f>
        <v/>
      </c>
    </row>
    <row r="446" spans="4:4" ht="15.75" x14ac:dyDescent="0.25">
      <c r="D446" s="12" t="str">
        <f>IFERROR(VLOOKUP(A446,'⚖️ Balance à importer'!A:D,4,FALSE) - VLOOKUP(A446,'⚖️ Balance à importer'!A:D,3,FALSE), "")</f>
        <v/>
      </c>
    </row>
    <row r="447" spans="4:4" ht="15.75" x14ac:dyDescent="0.25">
      <c r="D447" s="12" t="str">
        <f>IFERROR(VLOOKUP(A447,'⚖️ Balance à importer'!A:D,4,FALSE) - VLOOKUP(A447,'⚖️ Balance à importer'!A:D,3,FALSE), "")</f>
        <v/>
      </c>
    </row>
    <row r="448" spans="4:4" ht="15.75" x14ac:dyDescent="0.25">
      <c r="D448" s="12" t="str">
        <f>IFERROR(VLOOKUP(A448,'⚖️ Balance à importer'!A:D,4,FALSE) - VLOOKUP(A448,'⚖️ Balance à importer'!A:D,3,FALSE), "")</f>
        <v/>
      </c>
    </row>
    <row r="449" spans="4:4" ht="15.75" x14ac:dyDescent="0.25">
      <c r="D449" s="12" t="str">
        <f>IFERROR(VLOOKUP(A449,'⚖️ Balance à importer'!A:D,4,FALSE) - VLOOKUP(A449,'⚖️ Balance à importer'!A:D,3,FALSE), "")</f>
        <v/>
      </c>
    </row>
    <row r="450" spans="4:4" ht="15.75" x14ac:dyDescent="0.25">
      <c r="D450" s="12" t="str">
        <f>IFERROR(VLOOKUP(A450,'⚖️ Balance à importer'!A:D,4,FALSE) - VLOOKUP(A450,'⚖️ Balance à importer'!A:D,3,FALSE), "")</f>
        <v/>
      </c>
    </row>
    <row r="451" spans="4:4" ht="15.75" x14ac:dyDescent="0.25">
      <c r="D451" s="12" t="str">
        <f>IFERROR(VLOOKUP(A451,'⚖️ Balance à importer'!A:D,4,FALSE) - VLOOKUP(A451,'⚖️ Balance à importer'!A:D,3,FALSE), "")</f>
        <v/>
      </c>
    </row>
    <row r="452" spans="4:4" ht="15.75" x14ac:dyDescent="0.25">
      <c r="D452" s="12" t="str">
        <f>IFERROR(VLOOKUP(A452,'⚖️ Balance à importer'!A:D,4,FALSE) - VLOOKUP(A452,'⚖️ Balance à importer'!A:D,3,FALSE), "")</f>
        <v/>
      </c>
    </row>
    <row r="453" spans="4:4" ht="15.75" x14ac:dyDescent="0.25">
      <c r="D453" s="12" t="str">
        <f>IFERROR(VLOOKUP(A453,'⚖️ Balance à importer'!A:D,4,FALSE) - VLOOKUP(A453,'⚖️ Balance à importer'!A:D,3,FALSE), "")</f>
        <v/>
      </c>
    </row>
    <row r="454" spans="4:4" ht="15.75" x14ac:dyDescent="0.25">
      <c r="D454" s="12" t="str">
        <f>IFERROR(VLOOKUP(A454,'⚖️ Balance à importer'!A:D,4,FALSE) - VLOOKUP(A454,'⚖️ Balance à importer'!A:D,3,FALSE), "")</f>
        <v/>
      </c>
    </row>
    <row r="455" spans="4:4" ht="15.75" x14ac:dyDescent="0.25">
      <c r="D455" s="12" t="str">
        <f>IFERROR(VLOOKUP(A455,'⚖️ Balance à importer'!A:D,4,FALSE) - VLOOKUP(A455,'⚖️ Balance à importer'!A:D,3,FALSE), "")</f>
        <v/>
      </c>
    </row>
    <row r="456" spans="4:4" ht="15.75" x14ac:dyDescent="0.25">
      <c r="D456" s="12" t="str">
        <f>IFERROR(VLOOKUP(A456,'⚖️ Balance à importer'!A:D,4,FALSE) - VLOOKUP(A456,'⚖️ Balance à importer'!A:D,3,FALSE), "")</f>
        <v/>
      </c>
    </row>
    <row r="457" spans="4:4" ht="15.75" x14ac:dyDescent="0.25">
      <c r="D457" s="12" t="str">
        <f>IFERROR(VLOOKUP(A457,'⚖️ Balance à importer'!A:D,4,FALSE) - VLOOKUP(A457,'⚖️ Balance à importer'!A:D,3,FALSE), "")</f>
        <v/>
      </c>
    </row>
    <row r="458" spans="4:4" ht="15.75" x14ac:dyDescent="0.25">
      <c r="D458" s="12" t="str">
        <f>IFERROR(VLOOKUP(A458,'⚖️ Balance à importer'!A:D,4,FALSE) - VLOOKUP(A458,'⚖️ Balance à importer'!A:D,3,FALSE), "")</f>
        <v/>
      </c>
    </row>
    <row r="459" spans="4:4" ht="15.75" x14ac:dyDescent="0.25">
      <c r="D459" s="12" t="str">
        <f>IFERROR(VLOOKUP(A459,'⚖️ Balance à importer'!A:D,4,FALSE) - VLOOKUP(A459,'⚖️ Balance à importer'!A:D,3,FALSE), "")</f>
        <v/>
      </c>
    </row>
    <row r="460" spans="4:4" ht="15.75" x14ac:dyDescent="0.25">
      <c r="D460" s="12" t="str">
        <f>IFERROR(VLOOKUP(A460,'⚖️ Balance à importer'!A:D,4,FALSE) - VLOOKUP(A460,'⚖️ Balance à importer'!A:D,3,FALSE), "")</f>
        <v/>
      </c>
    </row>
    <row r="461" spans="4:4" ht="15.75" x14ac:dyDescent="0.25">
      <c r="D461" s="12" t="str">
        <f>IFERROR(VLOOKUP(A461,'⚖️ Balance à importer'!A:D,4,FALSE) - VLOOKUP(A461,'⚖️ Balance à importer'!A:D,3,FALSE), "")</f>
        <v/>
      </c>
    </row>
    <row r="462" spans="4:4" ht="15.75" x14ac:dyDescent="0.25">
      <c r="D462" s="12" t="str">
        <f>IFERROR(VLOOKUP(A462,'⚖️ Balance à importer'!A:D,4,FALSE) - VLOOKUP(A462,'⚖️ Balance à importer'!A:D,3,FALSE), "")</f>
        <v/>
      </c>
    </row>
    <row r="463" spans="4:4" ht="15.75" x14ac:dyDescent="0.25">
      <c r="D463" s="12" t="str">
        <f>IFERROR(VLOOKUP(A463,'⚖️ Balance à importer'!A:D,4,FALSE) - VLOOKUP(A463,'⚖️ Balance à importer'!A:D,3,FALSE), "")</f>
        <v/>
      </c>
    </row>
    <row r="464" spans="4:4" ht="15.75" x14ac:dyDescent="0.25">
      <c r="D464" s="12" t="str">
        <f>IFERROR(VLOOKUP(A464,'⚖️ Balance à importer'!A:D,4,FALSE) - VLOOKUP(A464,'⚖️ Balance à importer'!A:D,3,FALSE), "")</f>
        <v/>
      </c>
    </row>
    <row r="465" spans="4:4" ht="15.75" x14ac:dyDescent="0.25">
      <c r="D465" s="12" t="str">
        <f>IFERROR(VLOOKUP(A465,'⚖️ Balance à importer'!A:D,4,FALSE) - VLOOKUP(A465,'⚖️ Balance à importer'!A:D,3,FALSE), "")</f>
        <v/>
      </c>
    </row>
    <row r="466" spans="4:4" ht="15.75" x14ac:dyDescent="0.25">
      <c r="D466" s="12" t="str">
        <f>IFERROR(VLOOKUP(A466,'⚖️ Balance à importer'!A:D,4,FALSE) - VLOOKUP(A466,'⚖️ Balance à importer'!A:D,3,FALSE), "")</f>
        <v/>
      </c>
    </row>
    <row r="467" spans="4:4" ht="15.75" x14ac:dyDescent="0.25">
      <c r="D467" s="12" t="str">
        <f>IFERROR(VLOOKUP(A467,'⚖️ Balance à importer'!A:D,4,FALSE) - VLOOKUP(A467,'⚖️ Balance à importer'!A:D,3,FALSE), "")</f>
        <v/>
      </c>
    </row>
    <row r="468" spans="4:4" ht="15.75" x14ac:dyDescent="0.25">
      <c r="D468" s="12" t="str">
        <f>IFERROR(VLOOKUP(A468,'⚖️ Balance à importer'!A:D,4,FALSE) - VLOOKUP(A468,'⚖️ Balance à importer'!A:D,3,FALSE), "")</f>
        <v/>
      </c>
    </row>
    <row r="469" spans="4:4" ht="15.75" x14ac:dyDescent="0.25">
      <c r="D469" s="12" t="str">
        <f>IFERROR(VLOOKUP(A469,'⚖️ Balance à importer'!A:D,4,FALSE) - VLOOKUP(A469,'⚖️ Balance à importer'!A:D,3,FALSE), "")</f>
        <v/>
      </c>
    </row>
    <row r="470" spans="4:4" ht="15.75" x14ac:dyDescent="0.25">
      <c r="D470" s="12" t="str">
        <f>IFERROR(VLOOKUP(A470,'⚖️ Balance à importer'!A:D,4,FALSE) - VLOOKUP(A470,'⚖️ Balance à importer'!A:D,3,FALSE), "")</f>
        <v/>
      </c>
    </row>
    <row r="471" spans="4:4" ht="15.75" x14ac:dyDescent="0.25">
      <c r="D471" s="12" t="str">
        <f>IFERROR(VLOOKUP(A471,'⚖️ Balance à importer'!A:D,4,FALSE) - VLOOKUP(A471,'⚖️ Balance à importer'!A:D,3,FALSE), "")</f>
        <v/>
      </c>
    </row>
    <row r="472" spans="4:4" ht="15.75" x14ac:dyDescent="0.25">
      <c r="D472" s="12" t="str">
        <f>IFERROR(VLOOKUP(A472,'⚖️ Balance à importer'!A:D,4,FALSE) - VLOOKUP(A472,'⚖️ Balance à importer'!A:D,3,FALSE), "")</f>
        <v/>
      </c>
    </row>
    <row r="473" spans="4:4" ht="15.75" x14ac:dyDescent="0.25">
      <c r="D473" s="12" t="str">
        <f>IFERROR(VLOOKUP(A473,'⚖️ Balance à importer'!A:D,4,FALSE) - VLOOKUP(A473,'⚖️ Balance à importer'!A:D,3,FALSE), "")</f>
        <v/>
      </c>
    </row>
    <row r="474" spans="4:4" ht="15.75" x14ac:dyDescent="0.25">
      <c r="D474" s="12" t="str">
        <f>IFERROR(VLOOKUP(A474,'⚖️ Balance à importer'!A:D,4,FALSE) - VLOOKUP(A474,'⚖️ Balance à importer'!A:D,3,FALSE), "")</f>
        <v/>
      </c>
    </row>
    <row r="475" spans="4:4" ht="15.75" x14ac:dyDescent="0.25">
      <c r="D475" s="12" t="str">
        <f>IFERROR(VLOOKUP(A475,'⚖️ Balance à importer'!A:D,4,FALSE) - VLOOKUP(A475,'⚖️ Balance à importer'!A:D,3,FALSE), "")</f>
        <v/>
      </c>
    </row>
    <row r="476" spans="4:4" ht="15.75" x14ac:dyDescent="0.25">
      <c r="D476" s="12" t="str">
        <f>IFERROR(VLOOKUP(A476,'⚖️ Balance à importer'!A:D,4,FALSE) - VLOOKUP(A476,'⚖️ Balance à importer'!A:D,3,FALSE), "")</f>
        <v/>
      </c>
    </row>
    <row r="477" spans="4:4" ht="15.75" x14ac:dyDescent="0.25">
      <c r="D477" s="12" t="str">
        <f>IFERROR(VLOOKUP(A477,'⚖️ Balance à importer'!A:D,4,FALSE) - VLOOKUP(A477,'⚖️ Balance à importer'!A:D,3,FALSE), "")</f>
        <v/>
      </c>
    </row>
    <row r="478" spans="4:4" ht="15.75" x14ac:dyDescent="0.25">
      <c r="D478" s="12" t="str">
        <f>IFERROR(VLOOKUP(A478,'⚖️ Balance à importer'!A:D,4,FALSE) - VLOOKUP(A478,'⚖️ Balance à importer'!A:D,3,FALSE), "")</f>
        <v/>
      </c>
    </row>
    <row r="479" spans="4:4" ht="15.75" x14ac:dyDescent="0.25">
      <c r="D479" s="12" t="str">
        <f>IFERROR(VLOOKUP(A479,'⚖️ Balance à importer'!A:D,4,FALSE) - VLOOKUP(A479,'⚖️ Balance à importer'!A:D,3,FALSE), "")</f>
        <v/>
      </c>
    </row>
    <row r="480" spans="4:4" ht="15.75" x14ac:dyDescent="0.25">
      <c r="D480" s="12" t="str">
        <f>IFERROR(VLOOKUP(A480,'⚖️ Balance à importer'!A:D,4,FALSE) - VLOOKUP(A480,'⚖️ Balance à importer'!A:D,3,FALSE), "")</f>
        <v/>
      </c>
    </row>
    <row r="481" spans="4:4" ht="15.75" x14ac:dyDescent="0.25">
      <c r="D481" s="12" t="str">
        <f>IFERROR(VLOOKUP(A481,'⚖️ Balance à importer'!A:D,4,FALSE) - VLOOKUP(A481,'⚖️ Balance à importer'!A:D,3,FALSE), "")</f>
        <v/>
      </c>
    </row>
    <row r="482" spans="4:4" ht="15.75" x14ac:dyDescent="0.25">
      <c r="D482" s="12" t="str">
        <f>IFERROR(VLOOKUP(A482,'⚖️ Balance à importer'!A:D,4,FALSE) - VLOOKUP(A482,'⚖️ Balance à importer'!A:D,3,FALSE), "")</f>
        <v/>
      </c>
    </row>
    <row r="483" spans="4:4" ht="15.75" x14ac:dyDescent="0.25">
      <c r="D483" s="12" t="str">
        <f>IFERROR(VLOOKUP(A483,'⚖️ Balance à importer'!A:D,4,FALSE) - VLOOKUP(A483,'⚖️ Balance à importer'!A:D,3,FALSE), "")</f>
        <v/>
      </c>
    </row>
    <row r="484" spans="4:4" ht="15.75" x14ac:dyDescent="0.25">
      <c r="D484" s="12" t="str">
        <f>IFERROR(VLOOKUP(A484,'⚖️ Balance à importer'!A:D,4,FALSE) - VLOOKUP(A484,'⚖️ Balance à importer'!A:D,3,FALSE), "")</f>
        <v/>
      </c>
    </row>
    <row r="485" spans="4:4" ht="15.75" x14ac:dyDescent="0.25">
      <c r="D485" s="12" t="str">
        <f>IFERROR(VLOOKUP(A485,'⚖️ Balance à importer'!A:D,4,FALSE) - VLOOKUP(A485,'⚖️ Balance à importer'!A:D,3,FALSE), "")</f>
        <v/>
      </c>
    </row>
    <row r="486" spans="4:4" ht="15.75" x14ac:dyDescent="0.25">
      <c r="D486" s="12" t="str">
        <f>IFERROR(VLOOKUP(A486,'⚖️ Balance à importer'!A:D,4,FALSE) - VLOOKUP(A486,'⚖️ Balance à importer'!A:D,3,FALSE), "")</f>
        <v/>
      </c>
    </row>
    <row r="487" spans="4:4" ht="15.75" x14ac:dyDescent="0.25">
      <c r="D487" s="12" t="str">
        <f>IFERROR(VLOOKUP(A487,'⚖️ Balance à importer'!A:D,4,FALSE) - VLOOKUP(A487,'⚖️ Balance à importer'!A:D,3,FALSE), "")</f>
        <v/>
      </c>
    </row>
    <row r="488" spans="4:4" ht="15.75" x14ac:dyDescent="0.25">
      <c r="D488" s="12" t="str">
        <f>IFERROR(VLOOKUP(A488,'⚖️ Balance à importer'!A:D,4,FALSE) - VLOOKUP(A488,'⚖️ Balance à importer'!A:D,3,FALSE), "")</f>
        <v/>
      </c>
    </row>
    <row r="489" spans="4:4" ht="15.75" x14ac:dyDescent="0.25">
      <c r="D489" s="12" t="str">
        <f>IFERROR(VLOOKUP(A489,'⚖️ Balance à importer'!A:D,4,FALSE) - VLOOKUP(A489,'⚖️ Balance à importer'!A:D,3,FALSE), "")</f>
        <v/>
      </c>
    </row>
    <row r="490" spans="4:4" ht="15.75" x14ac:dyDescent="0.25">
      <c r="D490" s="12" t="str">
        <f>IFERROR(VLOOKUP(A490,'⚖️ Balance à importer'!A:D,4,FALSE) - VLOOKUP(A490,'⚖️ Balance à importer'!A:D,3,FALSE), "")</f>
        <v/>
      </c>
    </row>
    <row r="491" spans="4:4" ht="15.75" x14ac:dyDescent="0.25">
      <c r="D491" s="12" t="str">
        <f>IFERROR(VLOOKUP(A491,'⚖️ Balance à importer'!A:D,4,FALSE) - VLOOKUP(A491,'⚖️ Balance à importer'!A:D,3,FALSE), "")</f>
        <v/>
      </c>
    </row>
    <row r="492" spans="4:4" ht="15.75" x14ac:dyDescent="0.25">
      <c r="D492" s="12" t="str">
        <f>IFERROR(VLOOKUP(A492,'⚖️ Balance à importer'!A:D,4,FALSE) - VLOOKUP(A492,'⚖️ Balance à importer'!A:D,3,FALSE), "")</f>
        <v/>
      </c>
    </row>
    <row r="493" spans="4:4" ht="15.75" x14ac:dyDescent="0.25">
      <c r="D493" s="12" t="str">
        <f>IFERROR(VLOOKUP(A493,'⚖️ Balance à importer'!A:D,4,FALSE) - VLOOKUP(A493,'⚖️ Balance à importer'!A:D,3,FALSE), "")</f>
        <v/>
      </c>
    </row>
    <row r="494" spans="4:4" ht="15.75" x14ac:dyDescent="0.25">
      <c r="D494" s="12" t="str">
        <f>IFERROR(VLOOKUP(A494,'⚖️ Balance à importer'!A:D,4,FALSE) - VLOOKUP(A494,'⚖️ Balance à importer'!A:D,3,FALSE), "")</f>
        <v/>
      </c>
    </row>
    <row r="495" spans="4:4" ht="15.75" x14ac:dyDescent="0.25">
      <c r="D495" s="12" t="str">
        <f>IFERROR(VLOOKUP(A495,'⚖️ Balance à importer'!A:D,4,FALSE) - VLOOKUP(A495,'⚖️ Balance à importer'!A:D,3,FALSE), "")</f>
        <v/>
      </c>
    </row>
    <row r="496" spans="4:4" ht="15.75" x14ac:dyDescent="0.25">
      <c r="D496" s="12" t="str">
        <f>IFERROR(VLOOKUP(A496,'⚖️ Balance à importer'!A:D,4,FALSE) - VLOOKUP(A496,'⚖️ Balance à importer'!A:D,3,FALSE), "")</f>
        <v/>
      </c>
    </row>
    <row r="497" spans="4:4" ht="15.75" x14ac:dyDescent="0.25">
      <c r="D497" s="12" t="str">
        <f>IFERROR(VLOOKUP(A497,'⚖️ Balance à importer'!A:D,4,FALSE) - VLOOKUP(A497,'⚖️ Balance à importer'!A:D,3,FALSE), "")</f>
        <v/>
      </c>
    </row>
    <row r="498" spans="4:4" ht="15.75" x14ac:dyDescent="0.25">
      <c r="D498" s="12" t="str">
        <f>IFERROR(VLOOKUP(A498,'⚖️ Balance à importer'!A:D,4,FALSE) - VLOOKUP(A498,'⚖️ Balance à importer'!A:D,3,FALSE), "")</f>
        <v/>
      </c>
    </row>
    <row r="499" spans="4:4" ht="15.75" x14ac:dyDescent="0.25">
      <c r="D499" s="12" t="str">
        <f>IFERROR(VLOOKUP(A499,'⚖️ Balance à importer'!A:D,4,FALSE) - VLOOKUP(A499,'⚖️ Balance à importer'!A:D,3,FALSE), "")</f>
        <v/>
      </c>
    </row>
    <row r="500" spans="4:4" ht="15.75" x14ac:dyDescent="0.25">
      <c r="D500" s="12" t="str">
        <f>IFERROR(VLOOKUP(A500,'⚖️ Balance à importer'!A:D,4,FALSE) - VLOOKUP(A500,'⚖️ Balance à importer'!A:D,3,FALSE), "")</f>
        <v/>
      </c>
    </row>
    <row r="501" spans="4:4" ht="15.75" x14ac:dyDescent="0.25">
      <c r="D501" s="12" t="str">
        <f>IFERROR(VLOOKUP(A501,'⚖️ Balance à importer'!A:D,4,FALSE) - VLOOKUP(A501,'⚖️ Balance à importer'!A:D,3,FALSE), "")</f>
        <v/>
      </c>
    </row>
    <row r="502" spans="4:4" ht="15.75" x14ac:dyDescent="0.25">
      <c r="D502" s="12" t="str">
        <f>IFERROR(VLOOKUP(A502,'⚖️ Balance à importer'!A:D,4,FALSE) - VLOOKUP(A502,'⚖️ Balance à importer'!A:D,3,FALSE), "")</f>
        <v/>
      </c>
    </row>
    <row r="503" spans="4:4" ht="15.75" x14ac:dyDescent="0.25">
      <c r="D503" s="12" t="str">
        <f>IFERROR(VLOOKUP(A503,'⚖️ Balance à importer'!A:D,4,FALSE) - VLOOKUP(A503,'⚖️ Balance à importer'!A:D,3,FALSE), "")</f>
        <v/>
      </c>
    </row>
    <row r="504" spans="4:4" ht="15.75" x14ac:dyDescent="0.25">
      <c r="D504" s="12" t="str">
        <f>IFERROR(VLOOKUP(A504,'⚖️ Balance à importer'!A:D,4,FALSE) - VLOOKUP(A504,'⚖️ Balance à importer'!A:D,3,FALSE), "")</f>
        <v/>
      </c>
    </row>
    <row r="505" spans="4:4" ht="15.75" x14ac:dyDescent="0.25">
      <c r="D505" s="12" t="str">
        <f>IFERROR(VLOOKUP(A505,'⚖️ Balance à importer'!A:D,4,FALSE) - VLOOKUP(A505,'⚖️ Balance à importer'!A:D,3,FALSE), "")</f>
        <v/>
      </c>
    </row>
    <row r="506" spans="4:4" ht="15.75" x14ac:dyDescent="0.25">
      <c r="D506" s="12" t="str">
        <f>IFERROR(VLOOKUP(A506,'⚖️ Balance à importer'!A:D,4,FALSE) - VLOOKUP(A506,'⚖️ Balance à importer'!A:D,3,FALSE), "")</f>
        <v/>
      </c>
    </row>
    <row r="507" spans="4:4" ht="15.75" x14ac:dyDescent="0.25">
      <c r="D507" s="12" t="str">
        <f>IFERROR(VLOOKUP(A507,'⚖️ Balance à importer'!A:D,4,FALSE) - VLOOKUP(A507,'⚖️ Balance à importer'!A:D,3,FALSE), "")</f>
        <v/>
      </c>
    </row>
    <row r="508" spans="4:4" ht="15.75" x14ac:dyDescent="0.25">
      <c r="D508" s="12" t="str">
        <f>IFERROR(VLOOKUP(A508,'⚖️ Balance à importer'!A:D,4,FALSE) - VLOOKUP(A508,'⚖️ Balance à importer'!A:D,3,FALSE), "")</f>
        <v/>
      </c>
    </row>
    <row r="509" spans="4:4" ht="15.75" x14ac:dyDescent="0.25">
      <c r="D509" s="12" t="str">
        <f>IFERROR(VLOOKUP(A509,'⚖️ Balance à importer'!A:D,4,FALSE) - VLOOKUP(A509,'⚖️ Balance à importer'!A:D,3,FALSE), "")</f>
        <v/>
      </c>
    </row>
    <row r="510" spans="4:4" ht="15.75" x14ac:dyDescent="0.25">
      <c r="D510" s="12" t="str">
        <f>IFERROR(VLOOKUP(A510,'⚖️ Balance à importer'!A:D,4,FALSE) - VLOOKUP(A510,'⚖️ Balance à importer'!A:D,3,FALSE), "")</f>
        <v/>
      </c>
    </row>
    <row r="511" spans="4:4" ht="15.75" x14ac:dyDescent="0.25">
      <c r="D511" s="12" t="str">
        <f>IFERROR(VLOOKUP(A511,'⚖️ Balance à importer'!A:D,4,FALSE) - VLOOKUP(A511,'⚖️ Balance à importer'!A:D,3,FALSE), "")</f>
        <v/>
      </c>
    </row>
    <row r="512" spans="4:4" ht="15.75" x14ac:dyDescent="0.25">
      <c r="D512" s="12" t="str">
        <f>IFERROR(VLOOKUP(A512,'⚖️ Balance à importer'!A:D,4,FALSE) - VLOOKUP(A512,'⚖️ Balance à importer'!A:D,3,FALSE), "")</f>
        <v/>
      </c>
    </row>
    <row r="513" spans="4:4" ht="15.75" x14ac:dyDescent="0.25">
      <c r="D513" s="12" t="str">
        <f>IFERROR(VLOOKUP(A513,'⚖️ Balance à importer'!A:D,4,FALSE) - VLOOKUP(A513,'⚖️ Balance à importer'!A:D,3,FALSE), "")</f>
        <v/>
      </c>
    </row>
    <row r="514" spans="4:4" ht="15.75" x14ac:dyDescent="0.25">
      <c r="D514" s="12" t="str">
        <f>IFERROR(VLOOKUP(A514,'⚖️ Balance à importer'!A:D,4,FALSE) - VLOOKUP(A514,'⚖️ Balance à importer'!A:D,3,FALSE), "")</f>
        <v/>
      </c>
    </row>
    <row r="515" spans="4:4" ht="15.75" x14ac:dyDescent="0.25">
      <c r="D515" s="12" t="str">
        <f>IFERROR(VLOOKUP(A515,'⚖️ Balance à importer'!A:D,4,FALSE) - VLOOKUP(A515,'⚖️ Balance à importer'!A:D,3,FALSE), "")</f>
        <v/>
      </c>
    </row>
    <row r="516" spans="4:4" ht="15.75" x14ac:dyDescent="0.25">
      <c r="D516" s="12" t="str">
        <f>IFERROR(VLOOKUP(A516,'⚖️ Balance à importer'!A:D,4,FALSE) - VLOOKUP(A516,'⚖️ Balance à importer'!A:D,3,FALSE), "")</f>
        <v/>
      </c>
    </row>
    <row r="517" spans="4:4" ht="15.75" x14ac:dyDescent="0.25">
      <c r="D517" s="12" t="str">
        <f>IFERROR(VLOOKUP(A517,'⚖️ Balance à importer'!A:D,4,FALSE) - VLOOKUP(A517,'⚖️ Balance à importer'!A:D,3,FALSE), "")</f>
        <v/>
      </c>
    </row>
    <row r="518" spans="4:4" ht="15.75" x14ac:dyDescent="0.25">
      <c r="D518" s="12" t="str">
        <f>IFERROR(VLOOKUP(A518,'⚖️ Balance à importer'!A:D,4,FALSE) - VLOOKUP(A518,'⚖️ Balance à importer'!A:D,3,FALSE), "")</f>
        <v/>
      </c>
    </row>
    <row r="519" spans="4:4" ht="15.75" x14ac:dyDescent="0.25">
      <c r="D519" s="12" t="str">
        <f>IFERROR(VLOOKUP(A519,'⚖️ Balance à importer'!A:D,4,FALSE) - VLOOKUP(A519,'⚖️ Balance à importer'!A:D,3,FALSE), "")</f>
        <v/>
      </c>
    </row>
    <row r="520" spans="4:4" ht="15.75" x14ac:dyDescent="0.25">
      <c r="D520" s="12" t="str">
        <f>IFERROR(VLOOKUP(A520,'⚖️ Balance à importer'!A:D,4,FALSE) - VLOOKUP(A520,'⚖️ Balance à importer'!A:D,3,FALSE), "")</f>
        <v/>
      </c>
    </row>
    <row r="521" spans="4:4" ht="15.75" x14ac:dyDescent="0.25">
      <c r="D521" s="12" t="str">
        <f>IFERROR(VLOOKUP(A521,'⚖️ Balance à importer'!A:D,4,FALSE) - VLOOKUP(A521,'⚖️ Balance à importer'!A:D,3,FALSE), "")</f>
        <v/>
      </c>
    </row>
    <row r="522" spans="4:4" ht="15.75" x14ac:dyDescent="0.25">
      <c r="D522" s="12" t="str">
        <f>IFERROR(VLOOKUP(A522,'⚖️ Balance à importer'!A:D,4,FALSE) - VLOOKUP(A522,'⚖️ Balance à importer'!A:D,3,FALSE), "")</f>
        <v/>
      </c>
    </row>
    <row r="523" spans="4:4" ht="15.75" x14ac:dyDescent="0.25">
      <c r="D523" s="12" t="str">
        <f>IFERROR(VLOOKUP(A523,'⚖️ Balance à importer'!A:D,4,FALSE) - VLOOKUP(A523,'⚖️ Balance à importer'!A:D,3,FALSE), "")</f>
        <v/>
      </c>
    </row>
    <row r="524" spans="4:4" ht="15.75" x14ac:dyDescent="0.25">
      <c r="D524" s="12" t="str">
        <f>IFERROR(VLOOKUP(A524,'⚖️ Balance à importer'!A:D,4,FALSE) - VLOOKUP(A524,'⚖️ Balance à importer'!A:D,3,FALSE), "")</f>
        <v/>
      </c>
    </row>
    <row r="525" spans="4:4" ht="15.75" x14ac:dyDescent="0.25">
      <c r="D525" s="12" t="str">
        <f>IFERROR(VLOOKUP(A525,'⚖️ Balance à importer'!A:D,4,FALSE) - VLOOKUP(A525,'⚖️ Balance à importer'!A:D,3,FALSE), "")</f>
        <v/>
      </c>
    </row>
    <row r="526" spans="4:4" ht="15.75" x14ac:dyDescent="0.25">
      <c r="D526" s="12" t="str">
        <f>IFERROR(VLOOKUP(A526,'⚖️ Balance à importer'!A:D,4,FALSE) - VLOOKUP(A526,'⚖️ Balance à importer'!A:D,3,FALSE), "")</f>
        <v/>
      </c>
    </row>
    <row r="527" spans="4:4" ht="15.75" x14ac:dyDescent="0.25">
      <c r="D527" s="12" t="str">
        <f>IFERROR(VLOOKUP(A527,'⚖️ Balance à importer'!A:D,4,FALSE) - VLOOKUP(A527,'⚖️ Balance à importer'!A:D,3,FALSE), "")</f>
        <v/>
      </c>
    </row>
    <row r="528" spans="4:4" ht="15.75" x14ac:dyDescent="0.25">
      <c r="D528" s="12" t="str">
        <f>IFERROR(VLOOKUP(A528,'⚖️ Balance à importer'!A:D,4,FALSE) - VLOOKUP(A528,'⚖️ Balance à importer'!A:D,3,FALSE), "")</f>
        <v/>
      </c>
    </row>
    <row r="529" spans="4:4" ht="15.75" x14ac:dyDescent="0.25">
      <c r="D529" s="12" t="str">
        <f>IFERROR(VLOOKUP(A529,'⚖️ Balance à importer'!A:D,4,FALSE) - VLOOKUP(A529,'⚖️ Balance à importer'!A:D,3,FALSE), "")</f>
        <v/>
      </c>
    </row>
    <row r="530" spans="4:4" ht="15.75" x14ac:dyDescent="0.25">
      <c r="D530" s="12" t="str">
        <f>IFERROR(VLOOKUP(A530,'⚖️ Balance à importer'!A:D,4,FALSE) - VLOOKUP(A530,'⚖️ Balance à importer'!A:D,3,FALSE), "")</f>
        <v/>
      </c>
    </row>
    <row r="531" spans="4:4" ht="15.75" x14ac:dyDescent="0.25">
      <c r="D531" s="12" t="str">
        <f>IFERROR(VLOOKUP(A531,'⚖️ Balance à importer'!A:D,4,FALSE) - VLOOKUP(A531,'⚖️ Balance à importer'!A:D,3,FALSE), "")</f>
        <v/>
      </c>
    </row>
    <row r="532" spans="4:4" ht="15.75" x14ac:dyDescent="0.25">
      <c r="D532" s="12" t="str">
        <f>IFERROR(VLOOKUP(A532,'⚖️ Balance à importer'!A:D,4,FALSE) - VLOOKUP(A532,'⚖️ Balance à importer'!A:D,3,FALSE), "")</f>
        <v/>
      </c>
    </row>
    <row r="533" spans="4:4" ht="15.75" x14ac:dyDescent="0.25">
      <c r="D533" s="12" t="str">
        <f>IFERROR(VLOOKUP(A533,'⚖️ Balance à importer'!A:D,4,FALSE) - VLOOKUP(A533,'⚖️ Balance à importer'!A:D,3,FALSE), "")</f>
        <v/>
      </c>
    </row>
    <row r="534" spans="4:4" ht="15.75" x14ac:dyDescent="0.25">
      <c r="D534" s="12" t="str">
        <f>IFERROR(VLOOKUP(A534,'⚖️ Balance à importer'!A:D,4,FALSE) - VLOOKUP(A534,'⚖️ Balance à importer'!A:D,3,FALSE), "")</f>
        <v/>
      </c>
    </row>
    <row r="535" spans="4:4" ht="15.75" x14ac:dyDescent="0.25">
      <c r="D535" s="12" t="str">
        <f>IFERROR(VLOOKUP(A535,'⚖️ Balance à importer'!A:D,4,FALSE) - VLOOKUP(A535,'⚖️ Balance à importer'!A:D,3,FALSE), "")</f>
        <v/>
      </c>
    </row>
    <row r="536" spans="4:4" ht="15.75" x14ac:dyDescent="0.25">
      <c r="D536" s="12" t="str">
        <f>IFERROR(VLOOKUP(A536,'⚖️ Balance à importer'!A:D,4,FALSE) - VLOOKUP(A536,'⚖️ Balance à importer'!A:D,3,FALSE), "")</f>
        <v/>
      </c>
    </row>
    <row r="537" spans="4:4" ht="15.75" x14ac:dyDescent="0.25">
      <c r="D537" s="12" t="str">
        <f>IFERROR(VLOOKUP(A537,'⚖️ Balance à importer'!A:D,4,FALSE) - VLOOKUP(A537,'⚖️ Balance à importer'!A:D,3,FALSE), "")</f>
        <v/>
      </c>
    </row>
    <row r="538" spans="4:4" ht="15.75" x14ac:dyDescent="0.25">
      <c r="D538" s="12" t="str">
        <f>IFERROR(VLOOKUP(A538,'⚖️ Balance à importer'!A:D,4,FALSE) - VLOOKUP(A538,'⚖️ Balance à importer'!A:D,3,FALSE), "")</f>
        <v/>
      </c>
    </row>
    <row r="539" spans="4:4" ht="15.75" x14ac:dyDescent="0.25">
      <c r="D539" s="12" t="str">
        <f>IFERROR(VLOOKUP(A539,'⚖️ Balance à importer'!A:D,4,FALSE) - VLOOKUP(A539,'⚖️ Balance à importer'!A:D,3,FALSE), "")</f>
        <v/>
      </c>
    </row>
    <row r="540" spans="4:4" ht="15.75" x14ac:dyDescent="0.25">
      <c r="D540" s="12" t="str">
        <f>IFERROR(VLOOKUP(A540,'⚖️ Balance à importer'!A:D,4,FALSE) - VLOOKUP(A540,'⚖️ Balance à importer'!A:D,3,FALSE), "")</f>
        <v/>
      </c>
    </row>
    <row r="541" spans="4:4" ht="15.75" x14ac:dyDescent="0.25">
      <c r="D541" s="12" t="str">
        <f>IFERROR(VLOOKUP(A541,'⚖️ Balance à importer'!A:D,4,FALSE) - VLOOKUP(A541,'⚖️ Balance à importer'!A:D,3,FALSE), "")</f>
        <v/>
      </c>
    </row>
    <row r="542" spans="4:4" ht="15.75" x14ac:dyDescent="0.25">
      <c r="D542" s="12" t="str">
        <f>IFERROR(VLOOKUP(A542,'⚖️ Balance à importer'!A:D,4,FALSE) - VLOOKUP(A542,'⚖️ Balance à importer'!A:D,3,FALSE), "")</f>
        <v/>
      </c>
    </row>
    <row r="543" spans="4:4" ht="15.75" x14ac:dyDescent="0.25">
      <c r="D543" s="12" t="str">
        <f>IFERROR(VLOOKUP(A543,'⚖️ Balance à importer'!A:D,4,FALSE) - VLOOKUP(A543,'⚖️ Balance à importer'!A:D,3,FALSE), "")</f>
        <v/>
      </c>
    </row>
    <row r="544" spans="4:4" ht="15.75" x14ac:dyDescent="0.25">
      <c r="D544" s="12" t="str">
        <f>IFERROR(VLOOKUP(A544,'⚖️ Balance à importer'!A:D,4,FALSE) - VLOOKUP(A544,'⚖️ Balance à importer'!A:D,3,FALSE), "")</f>
        <v/>
      </c>
    </row>
    <row r="545" spans="4:4" ht="15.75" x14ac:dyDescent="0.25">
      <c r="D545" s="12" t="str">
        <f>IFERROR(VLOOKUP(A545,'⚖️ Balance à importer'!A:D,4,FALSE) - VLOOKUP(A545,'⚖️ Balance à importer'!A:D,3,FALSE), "")</f>
        <v/>
      </c>
    </row>
    <row r="546" spans="4:4" ht="15.75" x14ac:dyDescent="0.25">
      <c r="D546" s="12" t="str">
        <f>IFERROR(VLOOKUP(A546,'⚖️ Balance à importer'!A:D,4,FALSE) - VLOOKUP(A546,'⚖️ Balance à importer'!A:D,3,FALSE), "")</f>
        <v/>
      </c>
    </row>
    <row r="547" spans="4:4" ht="15.75" x14ac:dyDescent="0.25">
      <c r="D547" s="12" t="str">
        <f>IFERROR(VLOOKUP(A547,'⚖️ Balance à importer'!A:D,4,FALSE) - VLOOKUP(A547,'⚖️ Balance à importer'!A:D,3,FALSE), "")</f>
        <v/>
      </c>
    </row>
    <row r="548" spans="4:4" ht="15.75" x14ac:dyDescent="0.25">
      <c r="D548" s="12" t="str">
        <f>IFERROR(VLOOKUP(A548,'⚖️ Balance à importer'!A:D,4,FALSE) - VLOOKUP(A548,'⚖️ Balance à importer'!A:D,3,FALSE), "")</f>
        <v/>
      </c>
    </row>
    <row r="549" spans="4:4" ht="15.75" x14ac:dyDescent="0.25">
      <c r="D549" s="12" t="str">
        <f>IFERROR(VLOOKUP(A549,'⚖️ Balance à importer'!A:D,4,FALSE) - VLOOKUP(A549,'⚖️ Balance à importer'!A:D,3,FALSE), "")</f>
        <v/>
      </c>
    </row>
    <row r="550" spans="4:4" ht="15.75" x14ac:dyDescent="0.25">
      <c r="D550" s="12" t="str">
        <f>IFERROR(VLOOKUP(A550,'⚖️ Balance à importer'!A:D,4,FALSE) - VLOOKUP(A550,'⚖️ Balance à importer'!A:D,3,FALSE), "")</f>
        <v/>
      </c>
    </row>
    <row r="551" spans="4:4" ht="15.75" x14ac:dyDescent="0.25">
      <c r="D551" s="12" t="str">
        <f>IFERROR(VLOOKUP(A551,'⚖️ Balance à importer'!A:D,4,FALSE) - VLOOKUP(A551,'⚖️ Balance à importer'!A:D,3,FALSE), "")</f>
        <v/>
      </c>
    </row>
    <row r="552" spans="4:4" ht="15.75" x14ac:dyDescent="0.25">
      <c r="D552" s="12" t="str">
        <f>IFERROR(VLOOKUP(A552,'⚖️ Balance à importer'!A:D,4,FALSE) - VLOOKUP(A552,'⚖️ Balance à importer'!A:D,3,FALSE), "")</f>
        <v/>
      </c>
    </row>
    <row r="553" spans="4:4" ht="15.75" x14ac:dyDescent="0.25">
      <c r="D553" s="12" t="str">
        <f>IFERROR(VLOOKUP(A553,'⚖️ Balance à importer'!A:D,4,FALSE) - VLOOKUP(A553,'⚖️ Balance à importer'!A:D,3,FALSE), "")</f>
        <v/>
      </c>
    </row>
    <row r="554" spans="4:4" ht="15.75" x14ac:dyDescent="0.25">
      <c r="D554" s="12" t="str">
        <f>IFERROR(VLOOKUP(A554,'⚖️ Balance à importer'!A:D,4,FALSE) - VLOOKUP(A554,'⚖️ Balance à importer'!A:D,3,FALSE), "")</f>
        <v/>
      </c>
    </row>
    <row r="555" spans="4:4" ht="15.75" x14ac:dyDescent="0.25">
      <c r="D555" s="12" t="str">
        <f>IFERROR(VLOOKUP(A555,'⚖️ Balance à importer'!A:D,4,FALSE) - VLOOKUP(A555,'⚖️ Balance à importer'!A:D,3,FALSE), "")</f>
        <v/>
      </c>
    </row>
    <row r="556" spans="4:4" ht="15.75" x14ac:dyDescent="0.25">
      <c r="D556" s="12" t="str">
        <f>IFERROR(VLOOKUP(A556,'⚖️ Balance à importer'!A:D,4,FALSE) - VLOOKUP(A556,'⚖️ Balance à importer'!A:D,3,FALSE), "")</f>
        <v/>
      </c>
    </row>
    <row r="557" spans="4:4" ht="15.75" x14ac:dyDescent="0.25">
      <c r="D557" s="12" t="str">
        <f>IFERROR(VLOOKUP(A557,'⚖️ Balance à importer'!A:D,4,FALSE) - VLOOKUP(A557,'⚖️ Balance à importer'!A:D,3,FALSE), "")</f>
        <v/>
      </c>
    </row>
    <row r="558" spans="4:4" ht="15.75" x14ac:dyDescent="0.25">
      <c r="D558" s="12" t="str">
        <f>IFERROR(VLOOKUP(A558,'⚖️ Balance à importer'!A:D,4,FALSE) - VLOOKUP(A558,'⚖️ Balance à importer'!A:D,3,FALSE), "")</f>
        <v/>
      </c>
    </row>
    <row r="559" spans="4:4" ht="15.75" x14ac:dyDescent="0.25">
      <c r="D559" s="12" t="str">
        <f>IFERROR(VLOOKUP(A559,'⚖️ Balance à importer'!A:D,4,FALSE) - VLOOKUP(A559,'⚖️ Balance à importer'!A:D,3,FALSE), "")</f>
        <v/>
      </c>
    </row>
    <row r="560" spans="4:4" ht="15.75" x14ac:dyDescent="0.25">
      <c r="D560" s="12" t="str">
        <f>IFERROR(VLOOKUP(A560,'⚖️ Balance à importer'!A:D,4,FALSE) - VLOOKUP(A560,'⚖️ Balance à importer'!A:D,3,FALSE), "")</f>
        <v/>
      </c>
    </row>
    <row r="561" spans="4:4" ht="15.75" x14ac:dyDescent="0.25">
      <c r="D561" s="12" t="str">
        <f>IFERROR(VLOOKUP(A561,'⚖️ Balance à importer'!A:D,4,FALSE) - VLOOKUP(A561,'⚖️ Balance à importer'!A:D,3,FALSE), "")</f>
        <v/>
      </c>
    </row>
    <row r="562" spans="4:4" ht="15.75" x14ac:dyDescent="0.25">
      <c r="D562" s="12" t="str">
        <f>IFERROR(VLOOKUP(A562,'⚖️ Balance à importer'!A:D,4,FALSE) - VLOOKUP(A562,'⚖️ Balance à importer'!A:D,3,FALSE), "")</f>
        <v/>
      </c>
    </row>
    <row r="563" spans="4:4" ht="15.75" x14ac:dyDescent="0.25">
      <c r="D563" s="12" t="str">
        <f>IFERROR(VLOOKUP(A563,'⚖️ Balance à importer'!A:D,4,FALSE) - VLOOKUP(A563,'⚖️ Balance à importer'!A:D,3,FALSE), "")</f>
        <v/>
      </c>
    </row>
    <row r="564" spans="4:4" ht="15.75" x14ac:dyDescent="0.25">
      <c r="D564" s="12" t="str">
        <f>IFERROR(VLOOKUP(A564,'⚖️ Balance à importer'!A:D,4,FALSE) - VLOOKUP(A564,'⚖️ Balance à importer'!A:D,3,FALSE), "")</f>
        <v/>
      </c>
    </row>
    <row r="565" spans="4:4" ht="15.75" x14ac:dyDescent="0.25">
      <c r="D565" s="12" t="str">
        <f>IFERROR(VLOOKUP(A565,'⚖️ Balance à importer'!A:D,4,FALSE) - VLOOKUP(A565,'⚖️ Balance à importer'!A:D,3,FALSE), "")</f>
        <v/>
      </c>
    </row>
    <row r="566" spans="4:4" ht="15.75" x14ac:dyDescent="0.25">
      <c r="D566" s="12" t="str">
        <f>IFERROR(VLOOKUP(A566,'⚖️ Balance à importer'!A:D,4,FALSE) - VLOOKUP(A566,'⚖️ Balance à importer'!A:D,3,FALSE), "")</f>
        <v/>
      </c>
    </row>
    <row r="567" spans="4:4" ht="15.75" x14ac:dyDescent="0.25">
      <c r="D567" s="12" t="str">
        <f>IFERROR(VLOOKUP(A567,'⚖️ Balance à importer'!A:D,4,FALSE) - VLOOKUP(A567,'⚖️ Balance à importer'!A:D,3,FALSE), "")</f>
        <v/>
      </c>
    </row>
    <row r="568" spans="4:4" ht="15.75" x14ac:dyDescent="0.25">
      <c r="D568" s="12" t="str">
        <f>IFERROR(VLOOKUP(A568,'⚖️ Balance à importer'!A:D,4,FALSE) - VLOOKUP(A568,'⚖️ Balance à importer'!A:D,3,FALSE), "")</f>
        <v/>
      </c>
    </row>
    <row r="569" spans="4:4" ht="15.75" x14ac:dyDescent="0.25">
      <c r="D569" s="12" t="str">
        <f>IFERROR(VLOOKUP(A569,'⚖️ Balance à importer'!A:D,4,FALSE) - VLOOKUP(A569,'⚖️ Balance à importer'!A:D,3,FALSE), "")</f>
        <v/>
      </c>
    </row>
    <row r="570" spans="4:4" ht="15.75" x14ac:dyDescent="0.25">
      <c r="D570" s="12" t="str">
        <f>IFERROR(VLOOKUP(A570,'⚖️ Balance à importer'!A:D,4,FALSE) - VLOOKUP(A570,'⚖️ Balance à importer'!A:D,3,FALSE), "")</f>
        <v/>
      </c>
    </row>
    <row r="571" spans="4:4" ht="15.75" x14ac:dyDescent="0.25">
      <c r="D571" s="12" t="str">
        <f>IFERROR(VLOOKUP(A571,'⚖️ Balance à importer'!A:D,4,FALSE) - VLOOKUP(A571,'⚖️ Balance à importer'!A:D,3,FALSE), "")</f>
        <v/>
      </c>
    </row>
    <row r="572" spans="4:4" ht="15.75" x14ac:dyDescent="0.25">
      <c r="D572" s="12" t="str">
        <f>IFERROR(VLOOKUP(A572,'⚖️ Balance à importer'!A:D,4,FALSE) - VLOOKUP(A572,'⚖️ Balance à importer'!A:D,3,FALSE), "")</f>
        <v/>
      </c>
    </row>
    <row r="573" spans="4:4" ht="15.75" x14ac:dyDescent="0.25">
      <c r="D573" s="12" t="str">
        <f>IFERROR(VLOOKUP(A573,'⚖️ Balance à importer'!A:D,4,FALSE) - VLOOKUP(A573,'⚖️ Balance à importer'!A:D,3,FALSE), "")</f>
        <v/>
      </c>
    </row>
    <row r="574" spans="4:4" ht="15.75" x14ac:dyDescent="0.25">
      <c r="D574" s="12" t="str">
        <f>IFERROR(VLOOKUP(A574,'⚖️ Balance à importer'!A:D,4,FALSE) - VLOOKUP(A574,'⚖️ Balance à importer'!A:D,3,FALSE), "")</f>
        <v/>
      </c>
    </row>
    <row r="575" spans="4:4" ht="15.75" x14ac:dyDescent="0.25">
      <c r="D575" s="12" t="str">
        <f>IFERROR(VLOOKUP(A575,'⚖️ Balance à importer'!A:D,4,FALSE) - VLOOKUP(A575,'⚖️ Balance à importer'!A:D,3,FALSE), "")</f>
        <v/>
      </c>
    </row>
    <row r="576" spans="4:4" ht="15.75" x14ac:dyDescent="0.25">
      <c r="D576" s="12" t="str">
        <f>IFERROR(VLOOKUP(A576,'⚖️ Balance à importer'!A:D,4,FALSE) - VLOOKUP(A576,'⚖️ Balance à importer'!A:D,3,FALSE), "")</f>
        <v/>
      </c>
    </row>
    <row r="577" spans="4:4" ht="15.75" x14ac:dyDescent="0.25">
      <c r="D577" s="12" t="str">
        <f>IFERROR(VLOOKUP(A577,'⚖️ Balance à importer'!A:D,4,FALSE) - VLOOKUP(A577,'⚖️ Balance à importer'!A:D,3,FALSE), "")</f>
        <v/>
      </c>
    </row>
    <row r="578" spans="4:4" ht="15.75" x14ac:dyDescent="0.25">
      <c r="D578" s="12" t="str">
        <f>IFERROR(VLOOKUP(A578,'⚖️ Balance à importer'!A:D,4,FALSE) - VLOOKUP(A578,'⚖️ Balance à importer'!A:D,3,FALSE), "")</f>
        <v/>
      </c>
    </row>
    <row r="579" spans="4:4" ht="15.75" x14ac:dyDescent="0.25">
      <c r="D579" s="12" t="str">
        <f>IFERROR(VLOOKUP(A579,'⚖️ Balance à importer'!A:D,4,FALSE) - VLOOKUP(A579,'⚖️ Balance à importer'!A:D,3,FALSE), "")</f>
        <v/>
      </c>
    </row>
    <row r="580" spans="4:4" ht="15.75" x14ac:dyDescent="0.25">
      <c r="D580" s="12" t="str">
        <f>IFERROR(VLOOKUP(A580,'⚖️ Balance à importer'!A:D,4,FALSE) - VLOOKUP(A580,'⚖️ Balance à importer'!A:D,3,FALSE), "")</f>
        <v/>
      </c>
    </row>
    <row r="581" spans="4:4" ht="15.75" x14ac:dyDescent="0.25">
      <c r="D581" s="12" t="str">
        <f>IFERROR(VLOOKUP(A581,'⚖️ Balance à importer'!A:D,4,FALSE) - VLOOKUP(A581,'⚖️ Balance à importer'!A:D,3,FALSE), "")</f>
        <v/>
      </c>
    </row>
    <row r="582" spans="4:4" ht="15.75" x14ac:dyDescent="0.25">
      <c r="D582" s="12" t="str">
        <f>IFERROR(VLOOKUP(A582,'⚖️ Balance à importer'!A:D,4,FALSE) - VLOOKUP(A582,'⚖️ Balance à importer'!A:D,3,FALSE), "")</f>
        <v/>
      </c>
    </row>
    <row r="583" spans="4:4" ht="15.75" x14ac:dyDescent="0.25">
      <c r="D583" s="12" t="str">
        <f>IFERROR(VLOOKUP(A583,'⚖️ Balance à importer'!A:D,4,FALSE) - VLOOKUP(A583,'⚖️ Balance à importer'!A:D,3,FALSE), "")</f>
        <v/>
      </c>
    </row>
    <row r="584" spans="4:4" ht="15.75" x14ac:dyDescent="0.25">
      <c r="D584" s="12" t="str">
        <f>IFERROR(VLOOKUP(A584,'⚖️ Balance à importer'!A:D,4,FALSE) - VLOOKUP(A584,'⚖️ Balance à importer'!A:D,3,FALSE), "")</f>
        <v/>
      </c>
    </row>
    <row r="585" spans="4:4" ht="15.75" x14ac:dyDescent="0.25">
      <c r="D585" s="12" t="str">
        <f>IFERROR(VLOOKUP(A585,'⚖️ Balance à importer'!A:D,4,FALSE) - VLOOKUP(A585,'⚖️ Balance à importer'!A:D,3,FALSE), "")</f>
        <v/>
      </c>
    </row>
    <row r="586" spans="4:4" ht="15.75" x14ac:dyDescent="0.25">
      <c r="D586" s="12" t="str">
        <f>IFERROR(VLOOKUP(A586,'⚖️ Balance à importer'!A:D,4,FALSE) - VLOOKUP(A586,'⚖️ Balance à importer'!A:D,3,FALSE), "")</f>
        <v/>
      </c>
    </row>
    <row r="587" spans="4:4" ht="15.75" x14ac:dyDescent="0.25">
      <c r="D587" s="12" t="str">
        <f>IFERROR(VLOOKUP(A587,'⚖️ Balance à importer'!A:D,4,FALSE) - VLOOKUP(A587,'⚖️ Balance à importer'!A:D,3,FALSE), "")</f>
        <v/>
      </c>
    </row>
    <row r="588" spans="4:4" ht="15.75" x14ac:dyDescent="0.25">
      <c r="D588" s="12" t="str">
        <f>IFERROR(VLOOKUP(A588,'⚖️ Balance à importer'!A:D,4,FALSE) - VLOOKUP(A588,'⚖️ Balance à importer'!A:D,3,FALSE), "")</f>
        <v/>
      </c>
    </row>
    <row r="589" spans="4:4" ht="15.75" x14ac:dyDescent="0.25">
      <c r="D589" s="12" t="str">
        <f>IFERROR(VLOOKUP(A589,'⚖️ Balance à importer'!A:D,4,FALSE) - VLOOKUP(A589,'⚖️ Balance à importer'!A:D,3,FALSE), "")</f>
        <v/>
      </c>
    </row>
    <row r="590" spans="4:4" ht="15.75" x14ac:dyDescent="0.25">
      <c r="D590" s="12" t="str">
        <f>IFERROR(VLOOKUP(A590,'⚖️ Balance à importer'!A:D,4,FALSE) - VLOOKUP(A590,'⚖️ Balance à importer'!A:D,3,FALSE), "")</f>
        <v/>
      </c>
    </row>
    <row r="591" spans="4:4" ht="15.75" x14ac:dyDescent="0.25">
      <c r="D591" s="12" t="str">
        <f>IFERROR(VLOOKUP(A591,'⚖️ Balance à importer'!A:D,4,FALSE) - VLOOKUP(A591,'⚖️ Balance à importer'!A:D,3,FALSE), "")</f>
        <v/>
      </c>
    </row>
    <row r="592" spans="4:4" ht="15.75" x14ac:dyDescent="0.25">
      <c r="D592" s="12" t="str">
        <f>IFERROR(VLOOKUP(A592,'⚖️ Balance à importer'!A:D,4,FALSE) - VLOOKUP(A592,'⚖️ Balance à importer'!A:D,3,FALSE), "")</f>
        <v/>
      </c>
    </row>
    <row r="593" spans="4:4" ht="15.75" x14ac:dyDescent="0.25">
      <c r="D593" s="12" t="str">
        <f>IFERROR(VLOOKUP(A593,'⚖️ Balance à importer'!A:D,4,FALSE) - VLOOKUP(A593,'⚖️ Balance à importer'!A:D,3,FALSE), "")</f>
        <v/>
      </c>
    </row>
    <row r="594" spans="4:4" ht="15.75" x14ac:dyDescent="0.25">
      <c r="D594" s="12" t="str">
        <f>IFERROR(VLOOKUP(A594,'⚖️ Balance à importer'!A:D,4,FALSE) - VLOOKUP(A594,'⚖️ Balance à importer'!A:D,3,FALSE), "")</f>
        <v/>
      </c>
    </row>
    <row r="595" spans="4:4" ht="15.75" x14ac:dyDescent="0.25">
      <c r="D595" s="12" t="str">
        <f>IFERROR(VLOOKUP(A595,'⚖️ Balance à importer'!A:D,4,FALSE) - VLOOKUP(A595,'⚖️ Balance à importer'!A:D,3,FALSE), "")</f>
        <v/>
      </c>
    </row>
    <row r="596" spans="4:4" ht="15.75" x14ac:dyDescent="0.25">
      <c r="D596" s="12" t="str">
        <f>IFERROR(VLOOKUP(A596,'⚖️ Balance à importer'!A:D,4,FALSE) - VLOOKUP(A596,'⚖️ Balance à importer'!A:D,3,FALSE), "")</f>
        <v/>
      </c>
    </row>
    <row r="597" spans="4:4" ht="15.75" x14ac:dyDescent="0.25">
      <c r="D597" s="12" t="str">
        <f>IFERROR(VLOOKUP(A597,'⚖️ Balance à importer'!A:D,4,FALSE) - VLOOKUP(A597,'⚖️ Balance à importer'!A:D,3,FALSE), "")</f>
        <v/>
      </c>
    </row>
    <row r="598" spans="4:4" ht="15.75" x14ac:dyDescent="0.25">
      <c r="D598" s="12" t="str">
        <f>IFERROR(VLOOKUP(A598,'⚖️ Balance à importer'!A:D,4,FALSE) - VLOOKUP(A598,'⚖️ Balance à importer'!A:D,3,FALSE), "")</f>
        <v/>
      </c>
    </row>
    <row r="599" spans="4:4" ht="15.75" x14ac:dyDescent="0.25">
      <c r="D599" s="12" t="str">
        <f>IFERROR(VLOOKUP(A599,'⚖️ Balance à importer'!A:D,4,FALSE) - VLOOKUP(A599,'⚖️ Balance à importer'!A:D,3,FALSE), "")</f>
        <v/>
      </c>
    </row>
    <row r="600" spans="4:4" ht="15.75" x14ac:dyDescent="0.25">
      <c r="D600" s="12" t="str">
        <f>IFERROR(VLOOKUP(A600,'⚖️ Balance à importer'!A:D,4,FALSE) - VLOOKUP(A600,'⚖️ Balance à importer'!A:D,3,FALSE), "")</f>
        <v/>
      </c>
    </row>
    <row r="601" spans="4:4" ht="15.75" x14ac:dyDescent="0.25">
      <c r="D601" s="12" t="str">
        <f>IFERROR(VLOOKUP(A601,'⚖️ Balance à importer'!A:D,4,FALSE) - VLOOKUP(A601,'⚖️ Balance à importer'!A:D,3,FALSE), "")</f>
        <v/>
      </c>
    </row>
    <row r="602" spans="4:4" ht="15.75" x14ac:dyDescent="0.25">
      <c r="D602" s="12" t="str">
        <f>IFERROR(VLOOKUP(A602,'⚖️ Balance à importer'!A:D,4,FALSE) - VLOOKUP(A602,'⚖️ Balance à importer'!A:D,3,FALSE), "")</f>
        <v/>
      </c>
    </row>
    <row r="603" spans="4:4" ht="15.75" x14ac:dyDescent="0.25">
      <c r="D603" s="12" t="str">
        <f>IFERROR(VLOOKUP(A603,'⚖️ Balance à importer'!A:D,4,FALSE) - VLOOKUP(A603,'⚖️ Balance à importer'!A:D,3,FALSE), "")</f>
        <v/>
      </c>
    </row>
    <row r="604" spans="4:4" ht="15.75" x14ac:dyDescent="0.25">
      <c r="D604" s="12" t="str">
        <f>IFERROR(VLOOKUP(A604,'⚖️ Balance à importer'!A:D,4,FALSE) - VLOOKUP(A604,'⚖️ Balance à importer'!A:D,3,FALSE), "")</f>
        <v/>
      </c>
    </row>
    <row r="605" spans="4:4" ht="15.75" x14ac:dyDescent="0.25">
      <c r="D605" s="12" t="str">
        <f>IFERROR(VLOOKUP(A605,'⚖️ Balance à importer'!A:D,4,FALSE) - VLOOKUP(A605,'⚖️ Balance à importer'!A:D,3,FALSE), "")</f>
        <v/>
      </c>
    </row>
    <row r="606" spans="4:4" ht="15.75" x14ac:dyDescent="0.25">
      <c r="D606" s="12" t="str">
        <f>IFERROR(VLOOKUP(A606,'⚖️ Balance à importer'!A:D,4,FALSE) - VLOOKUP(A606,'⚖️ Balance à importer'!A:D,3,FALSE), "")</f>
        <v/>
      </c>
    </row>
    <row r="607" spans="4:4" ht="15.75" x14ac:dyDescent="0.25">
      <c r="D607" s="12" t="str">
        <f>IFERROR(VLOOKUP(A607,'⚖️ Balance à importer'!A:D,4,FALSE) - VLOOKUP(A607,'⚖️ Balance à importer'!A:D,3,FALSE), "")</f>
        <v/>
      </c>
    </row>
    <row r="608" spans="4:4" ht="15.75" x14ac:dyDescent="0.25">
      <c r="D608" s="12" t="str">
        <f>IFERROR(VLOOKUP(A608,'⚖️ Balance à importer'!A:D,4,FALSE) - VLOOKUP(A608,'⚖️ Balance à importer'!A:D,3,FALSE), "")</f>
        <v/>
      </c>
    </row>
    <row r="609" spans="4:4" ht="15.75" x14ac:dyDescent="0.25">
      <c r="D609" s="12" t="str">
        <f>IFERROR(VLOOKUP(A609,'⚖️ Balance à importer'!A:D,4,FALSE) - VLOOKUP(A609,'⚖️ Balance à importer'!A:D,3,FALSE), "")</f>
        <v/>
      </c>
    </row>
    <row r="610" spans="4:4" ht="15.75" x14ac:dyDescent="0.25">
      <c r="D610" s="12" t="str">
        <f>IFERROR(VLOOKUP(A610,'⚖️ Balance à importer'!A:D,4,FALSE) - VLOOKUP(A610,'⚖️ Balance à importer'!A:D,3,FALSE), "")</f>
        <v/>
      </c>
    </row>
    <row r="611" spans="4:4" ht="15.75" x14ac:dyDescent="0.25">
      <c r="D611" s="12" t="str">
        <f>IFERROR(VLOOKUP(A611,'⚖️ Balance à importer'!A:D,4,FALSE) - VLOOKUP(A611,'⚖️ Balance à importer'!A:D,3,FALSE), "")</f>
        <v/>
      </c>
    </row>
    <row r="612" spans="4:4" ht="15.75" x14ac:dyDescent="0.25">
      <c r="D612" s="12" t="str">
        <f>IFERROR(VLOOKUP(A612,'⚖️ Balance à importer'!A:D,4,FALSE) - VLOOKUP(A612,'⚖️ Balance à importer'!A:D,3,FALSE), "")</f>
        <v/>
      </c>
    </row>
    <row r="613" spans="4:4" ht="15.75" x14ac:dyDescent="0.25">
      <c r="D613" s="12" t="str">
        <f>IFERROR(VLOOKUP(A613,'⚖️ Balance à importer'!A:D,4,FALSE) - VLOOKUP(A613,'⚖️ Balance à importer'!A:D,3,FALSE), "")</f>
        <v/>
      </c>
    </row>
    <row r="614" spans="4:4" ht="15.75" x14ac:dyDescent="0.25">
      <c r="D614" s="12" t="str">
        <f>IFERROR(VLOOKUP(A614,'⚖️ Balance à importer'!A:D,4,FALSE) - VLOOKUP(A614,'⚖️ Balance à importer'!A:D,3,FALSE), "")</f>
        <v/>
      </c>
    </row>
    <row r="615" spans="4:4" ht="15.75" x14ac:dyDescent="0.25">
      <c r="D615" s="12" t="str">
        <f>IFERROR(VLOOKUP(A615,'⚖️ Balance à importer'!A:D,4,FALSE) - VLOOKUP(A615,'⚖️ Balance à importer'!A:D,3,FALSE), "")</f>
        <v/>
      </c>
    </row>
    <row r="616" spans="4:4" ht="15.75" x14ac:dyDescent="0.25">
      <c r="D616" s="12" t="str">
        <f>IFERROR(VLOOKUP(A616,'⚖️ Balance à importer'!A:D,4,FALSE) - VLOOKUP(A616,'⚖️ Balance à importer'!A:D,3,FALSE), "")</f>
        <v/>
      </c>
    </row>
    <row r="617" spans="4:4" ht="15.75" x14ac:dyDescent="0.25">
      <c r="D617" s="12" t="str">
        <f>IFERROR(VLOOKUP(A617,'⚖️ Balance à importer'!A:D,4,FALSE) - VLOOKUP(A617,'⚖️ Balance à importer'!A:D,3,FALSE), "")</f>
        <v/>
      </c>
    </row>
    <row r="618" spans="4:4" ht="15.75" x14ac:dyDescent="0.25">
      <c r="D618" s="12" t="str">
        <f>IFERROR(VLOOKUP(A618,'⚖️ Balance à importer'!A:D,4,FALSE) - VLOOKUP(A618,'⚖️ Balance à importer'!A:D,3,FALSE), "")</f>
        <v/>
      </c>
    </row>
    <row r="619" spans="4:4" ht="15.75" x14ac:dyDescent="0.25">
      <c r="D619" s="12" t="str">
        <f>IFERROR(VLOOKUP(A619,'⚖️ Balance à importer'!A:D,4,FALSE) - VLOOKUP(A619,'⚖️ Balance à importer'!A:D,3,FALSE), "")</f>
        <v/>
      </c>
    </row>
    <row r="620" spans="4:4" ht="15.75" x14ac:dyDescent="0.25">
      <c r="D620" s="12" t="str">
        <f>IFERROR(VLOOKUP(A620,'⚖️ Balance à importer'!A:D,4,FALSE) - VLOOKUP(A620,'⚖️ Balance à importer'!A:D,3,FALSE), "")</f>
        <v/>
      </c>
    </row>
    <row r="621" spans="4:4" ht="15.75" x14ac:dyDescent="0.25">
      <c r="D621" s="12" t="str">
        <f>IFERROR(VLOOKUP(A621,'⚖️ Balance à importer'!A:D,4,FALSE) - VLOOKUP(A621,'⚖️ Balance à importer'!A:D,3,FALSE), "")</f>
        <v/>
      </c>
    </row>
    <row r="622" spans="4:4" ht="15.75" x14ac:dyDescent="0.25">
      <c r="D622" s="12" t="str">
        <f>IFERROR(VLOOKUP(A622,'⚖️ Balance à importer'!A:D,4,FALSE) - VLOOKUP(A622,'⚖️ Balance à importer'!A:D,3,FALSE), "")</f>
        <v/>
      </c>
    </row>
    <row r="623" spans="4:4" ht="15.75" x14ac:dyDescent="0.25">
      <c r="D623" s="12" t="str">
        <f>IFERROR(VLOOKUP(A623,'⚖️ Balance à importer'!A:D,4,FALSE) - VLOOKUP(A623,'⚖️ Balance à importer'!A:D,3,FALSE), "")</f>
        <v/>
      </c>
    </row>
    <row r="624" spans="4:4" ht="15.75" x14ac:dyDescent="0.25">
      <c r="D624" s="12" t="str">
        <f>IFERROR(VLOOKUP(A624,'⚖️ Balance à importer'!A:D,4,FALSE) - VLOOKUP(A624,'⚖️ Balance à importer'!A:D,3,FALSE), "")</f>
        <v/>
      </c>
    </row>
    <row r="625" spans="4:4" ht="15.75" x14ac:dyDescent="0.25">
      <c r="D625" s="12" t="str">
        <f>IFERROR(VLOOKUP(A625,'⚖️ Balance à importer'!A:D,4,FALSE) - VLOOKUP(A625,'⚖️ Balance à importer'!A:D,3,FALSE), "")</f>
        <v/>
      </c>
    </row>
    <row r="626" spans="4:4" ht="15.75" x14ac:dyDescent="0.25">
      <c r="D626" s="12" t="str">
        <f>IFERROR(VLOOKUP(A626,'⚖️ Balance à importer'!A:D,4,FALSE) - VLOOKUP(A626,'⚖️ Balance à importer'!A:D,3,FALSE), "")</f>
        <v/>
      </c>
    </row>
    <row r="627" spans="4:4" ht="15.75" x14ac:dyDescent="0.25">
      <c r="D627" s="12" t="str">
        <f>IFERROR(VLOOKUP(A627,'⚖️ Balance à importer'!A:D,4,FALSE) - VLOOKUP(A627,'⚖️ Balance à importer'!A:D,3,FALSE), "")</f>
        <v/>
      </c>
    </row>
    <row r="628" spans="4:4" ht="15.75" x14ac:dyDescent="0.25">
      <c r="D628" s="12" t="str">
        <f>IFERROR(VLOOKUP(A628,'⚖️ Balance à importer'!A:D,4,FALSE) - VLOOKUP(A628,'⚖️ Balance à importer'!A:D,3,FALSE), "")</f>
        <v/>
      </c>
    </row>
    <row r="629" spans="4:4" ht="15.75" x14ac:dyDescent="0.25">
      <c r="D629" s="12" t="str">
        <f>IFERROR(VLOOKUP(A629,'⚖️ Balance à importer'!A:D,4,FALSE) - VLOOKUP(A629,'⚖️ Balance à importer'!A:D,3,FALSE), "")</f>
        <v/>
      </c>
    </row>
    <row r="630" spans="4:4" ht="15.75" x14ac:dyDescent="0.25">
      <c r="D630" s="12" t="str">
        <f>IFERROR(VLOOKUP(A630,'⚖️ Balance à importer'!A:D,4,FALSE) - VLOOKUP(A630,'⚖️ Balance à importer'!A:D,3,FALSE), "")</f>
        <v/>
      </c>
    </row>
    <row r="631" spans="4:4" ht="15.75" x14ac:dyDescent="0.25">
      <c r="D631" s="12" t="str">
        <f>IFERROR(VLOOKUP(A631,'⚖️ Balance à importer'!A:D,4,FALSE) - VLOOKUP(A631,'⚖️ Balance à importer'!A:D,3,FALSE), "")</f>
        <v/>
      </c>
    </row>
    <row r="632" spans="4:4" ht="15.75" x14ac:dyDescent="0.25">
      <c r="D632" s="12" t="str">
        <f>IFERROR(VLOOKUP(A632,'⚖️ Balance à importer'!A:D,4,FALSE) - VLOOKUP(A632,'⚖️ Balance à importer'!A:D,3,FALSE), "")</f>
        <v/>
      </c>
    </row>
    <row r="633" spans="4:4" ht="15.75" x14ac:dyDescent="0.25">
      <c r="D633" s="12" t="str">
        <f>IFERROR(VLOOKUP(A633,'⚖️ Balance à importer'!A:D,4,FALSE) - VLOOKUP(A633,'⚖️ Balance à importer'!A:D,3,FALSE), "")</f>
        <v/>
      </c>
    </row>
    <row r="634" spans="4:4" ht="15.75" x14ac:dyDescent="0.25">
      <c r="D634" s="12" t="str">
        <f>IFERROR(VLOOKUP(A634,'⚖️ Balance à importer'!A:D,4,FALSE) - VLOOKUP(A634,'⚖️ Balance à importer'!A:D,3,FALSE), "")</f>
        <v/>
      </c>
    </row>
    <row r="635" spans="4:4" ht="15.75" x14ac:dyDescent="0.25">
      <c r="D635" s="12" t="str">
        <f>IFERROR(VLOOKUP(A635,'⚖️ Balance à importer'!A:D,4,FALSE) - VLOOKUP(A635,'⚖️ Balance à importer'!A:D,3,FALSE), "")</f>
        <v/>
      </c>
    </row>
    <row r="636" spans="4:4" ht="15.75" x14ac:dyDescent="0.25">
      <c r="D636" s="12" t="str">
        <f>IFERROR(VLOOKUP(A636,'⚖️ Balance à importer'!A:D,4,FALSE) - VLOOKUP(A636,'⚖️ Balance à importer'!A:D,3,FALSE), "")</f>
        <v/>
      </c>
    </row>
    <row r="637" spans="4:4" ht="15.75" x14ac:dyDescent="0.25">
      <c r="D637" s="12" t="str">
        <f>IFERROR(VLOOKUP(A637,'⚖️ Balance à importer'!A:D,4,FALSE) - VLOOKUP(A637,'⚖️ Balance à importer'!A:D,3,FALSE), "")</f>
        <v/>
      </c>
    </row>
    <row r="638" spans="4:4" ht="15.75" x14ac:dyDescent="0.25">
      <c r="D638" s="12" t="str">
        <f>IFERROR(VLOOKUP(A638,'⚖️ Balance à importer'!A:D,4,FALSE) - VLOOKUP(A638,'⚖️ Balance à importer'!A:D,3,FALSE), "")</f>
        <v/>
      </c>
    </row>
    <row r="639" spans="4:4" ht="15.75" x14ac:dyDescent="0.25">
      <c r="D639" s="12" t="str">
        <f>IFERROR(VLOOKUP(A639,'⚖️ Balance à importer'!A:D,4,FALSE) - VLOOKUP(A639,'⚖️ Balance à importer'!A:D,3,FALSE), "")</f>
        <v/>
      </c>
    </row>
    <row r="640" spans="4:4" ht="15.75" x14ac:dyDescent="0.25">
      <c r="D640" s="12" t="str">
        <f>IFERROR(VLOOKUP(A640,'⚖️ Balance à importer'!A:D,4,FALSE) - VLOOKUP(A640,'⚖️ Balance à importer'!A:D,3,FALSE), "")</f>
        <v/>
      </c>
    </row>
    <row r="641" spans="4:4" ht="15.75" x14ac:dyDescent="0.25">
      <c r="D641" s="12" t="str">
        <f>IFERROR(VLOOKUP(A641,'⚖️ Balance à importer'!A:D,4,FALSE) - VLOOKUP(A641,'⚖️ Balance à importer'!A:D,3,FALSE), "")</f>
        <v/>
      </c>
    </row>
    <row r="642" spans="4:4" ht="15.75" x14ac:dyDescent="0.25">
      <c r="D642" s="12" t="str">
        <f>IFERROR(VLOOKUP(A642,'⚖️ Balance à importer'!A:D,4,FALSE) - VLOOKUP(A642,'⚖️ Balance à importer'!A:D,3,FALSE), "")</f>
        <v/>
      </c>
    </row>
    <row r="643" spans="4:4" ht="15.75" x14ac:dyDescent="0.25">
      <c r="D643" s="12" t="str">
        <f>IFERROR(VLOOKUP(A643,'⚖️ Balance à importer'!A:D,4,FALSE) - VLOOKUP(A643,'⚖️ Balance à importer'!A:D,3,FALSE), "")</f>
        <v/>
      </c>
    </row>
    <row r="644" spans="4:4" ht="15.75" x14ac:dyDescent="0.25">
      <c r="D644" s="12" t="str">
        <f>IFERROR(VLOOKUP(A644,'⚖️ Balance à importer'!A:D,4,FALSE) - VLOOKUP(A644,'⚖️ Balance à importer'!A:D,3,FALSE), "")</f>
        <v/>
      </c>
    </row>
    <row r="645" spans="4:4" ht="15.75" x14ac:dyDescent="0.25">
      <c r="D645" s="12" t="str">
        <f>IFERROR(VLOOKUP(A645,'⚖️ Balance à importer'!A:D,4,FALSE) - VLOOKUP(A645,'⚖️ Balance à importer'!A:D,3,FALSE), "")</f>
        <v/>
      </c>
    </row>
    <row r="646" spans="4:4" ht="15.75" x14ac:dyDescent="0.25">
      <c r="D646" s="12" t="str">
        <f>IFERROR(VLOOKUP(A646,'⚖️ Balance à importer'!A:D,4,FALSE) - VLOOKUP(A646,'⚖️ Balance à importer'!A:D,3,FALSE), "")</f>
        <v/>
      </c>
    </row>
    <row r="647" spans="4:4" ht="15.75" x14ac:dyDescent="0.25">
      <c r="D647" s="12" t="str">
        <f>IFERROR(VLOOKUP(A647,'⚖️ Balance à importer'!A:D,4,FALSE) - VLOOKUP(A647,'⚖️ Balance à importer'!A:D,3,FALSE), "")</f>
        <v/>
      </c>
    </row>
    <row r="648" spans="4:4" ht="15.75" x14ac:dyDescent="0.25">
      <c r="D648" s="12" t="str">
        <f>IFERROR(VLOOKUP(A648,'⚖️ Balance à importer'!A:D,4,FALSE) - VLOOKUP(A648,'⚖️ Balance à importer'!A:D,3,FALSE), "")</f>
        <v/>
      </c>
    </row>
    <row r="649" spans="4:4" ht="15.75" x14ac:dyDescent="0.25">
      <c r="D649" s="12" t="str">
        <f>IFERROR(VLOOKUP(A649,'⚖️ Balance à importer'!A:D,4,FALSE) - VLOOKUP(A649,'⚖️ Balance à importer'!A:D,3,FALSE), "")</f>
        <v/>
      </c>
    </row>
    <row r="650" spans="4:4" ht="15.75" x14ac:dyDescent="0.25">
      <c r="D650" s="12" t="str">
        <f>IFERROR(VLOOKUP(A650,'⚖️ Balance à importer'!A:D,4,FALSE) - VLOOKUP(A650,'⚖️ Balance à importer'!A:D,3,FALSE), "")</f>
        <v/>
      </c>
    </row>
    <row r="651" spans="4:4" ht="15.75" x14ac:dyDescent="0.25">
      <c r="D651" s="12" t="str">
        <f>IFERROR(VLOOKUP(A651,'⚖️ Balance à importer'!A:D,4,FALSE) - VLOOKUP(A651,'⚖️ Balance à importer'!A:D,3,FALSE), "")</f>
        <v/>
      </c>
    </row>
    <row r="652" spans="4:4" ht="15.75" x14ac:dyDescent="0.25">
      <c r="D652" s="12" t="str">
        <f>IFERROR(VLOOKUP(A652,'⚖️ Balance à importer'!A:D,4,FALSE) - VLOOKUP(A652,'⚖️ Balance à importer'!A:D,3,FALSE), "")</f>
        <v/>
      </c>
    </row>
    <row r="653" spans="4:4" ht="15.75" x14ac:dyDescent="0.25">
      <c r="D653" s="12" t="str">
        <f>IFERROR(VLOOKUP(A653,'⚖️ Balance à importer'!A:D,4,FALSE) - VLOOKUP(A653,'⚖️ Balance à importer'!A:D,3,FALSE), "")</f>
        <v/>
      </c>
    </row>
    <row r="654" spans="4:4" ht="15.75" x14ac:dyDescent="0.25">
      <c r="D654" s="12" t="str">
        <f>IFERROR(VLOOKUP(A654,'⚖️ Balance à importer'!A:D,4,FALSE) - VLOOKUP(A654,'⚖️ Balance à importer'!A:D,3,FALSE), "")</f>
        <v/>
      </c>
    </row>
    <row r="655" spans="4:4" ht="15.75" x14ac:dyDescent="0.25">
      <c r="D655" s="12" t="str">
        <f>IFERROR(VLOOKUP(A655,'⚖️ Balance à importer'!A:D,4,FALSE) - VLOOKUP(A655,'⚖️ Balance à importer'!A:D,3,FALSE), "")</f>
        <v/>
      </c>
    </row>
    <row r="656" spans="4:4" ht="15.75" x14ac:dyDescent="0.25">
      <c r="D656" s="12" t="str">
        <f>IFERROR(VLOOKUP(A656,'⚖️ Balance à importer'!A:D,4,FALSE) - VLOOKUP(A656,'⚖️ Balance à importer'!A:D,3,FALSE), "")</f>
        <v/>
      </c>
    </row>
    <row r="657" spans="4:4" ht="15.75" x14ac:dyDescent="0.25">
      <c r="D657" s="12" t="str">
        <f>IFERROR(VLOOKUP(A657,'⚖️ Balance à importer'!A:D,4,FALSE) - VLOOKUP(A657,'⚖️ Balance à importer'!A:D,3,FALSE), "")</f>
        <v/>
      </c>
    </row>
    <row r="658" spans="4:4" ht="15.75" x14ac:dyDescent="0.25">
      <c r="D658" s="12" t="str">
        <f>IFERROR(VLOOKUP(A658,'⚖️ Balance à importer'!A:D,4,FALSE) - VLOOKUP(A658,'⚖️ Balance à importer'!A:D,3,FALSE), "")</f>
        <v/>
      </c>
    </row>
    <row r="659" spans="4:4" ht="15.75" x14ac:dyDescent="0.25">
      <c r="D659" s="12" t="str">
        <f>IFERROR(VLOOKUP(A659,'⚖️ Balance à importer'!A:D,4,FALSE) - VLOOKUP(A659,'⚖️ Balance à importer'!A:D,3,FALSE), "")</f>
        <v/>
      </c>
    </row>
    <row r="660" spans="4:4" ht="15.75" x14ac:dyDescent="0.25">
      <c r="D660" s="12" t="str">
        <f>IFERROR(VLOOKUP(A660,'⚖️ Balance à importer'!A:D,4,FALSE) - VLOOKUP(A660,'⚖️ Balance à importer'!A:D,3,FALSE), "")</f>
        <v/>
      </c>
    </row>
    <row r="661" spans="4:4" ht="15.75" x14ac:dyDescent="0.25">
      <c r="D661" s="12" t="str">
        <f>IFERROR(VLOOKUP(A661,'⚖️ Balance à importer'!A:D,4,FALSE) - VLOOKUP(A661,'⚖️ Balance à importer'!A:D,3,FALSE), "")</f>
        <v/>
      </c>
    </row>
    <row r="662" spans="4:4" ht="15.75" x14ac:dyDescent="0.25">
      <c r="D662" s="12" t="str">
        <f>IFERROR(VLOOKUP(A662,'⚖️ Balance à importer'!A:D,4,FALSE) - VLOOKUP(A662,'⚖️ Balance à importer'!A:D,3,FALSE), "")</f>
        <v/>
      </c>
    </row>
    <row r="663" spans="4:4" ht="15.75" x14ac:dyDescent="0.25">
      <c r="D663" s="12" t="str">
        <f>IFERROR(VLOOKUP(A663,'⚖️ Balance à importer'!A:D,4,FALSE) - VLOOKUP(A663,'⚖️ Balance à importer'!A:D,3,FALSE), "")</f>
        <v/>
      </c>
    </row>
    <row r="664" spans="4:4" ht="15.75" x14ac:dyDescent="0.25">
      <c r="D664" s="12" t="str">
        <f>IFERROR(VLOOKUP(A664,'⚖️ Balance à importer'!A:D,4,FALSE) - VLOOKUP(A664,'⚖️ Balance à importer'!A:D,3,FALSE), "")</f>
        <v/>
      </c>
    </row>
    <row r="665" spans="4:4" ht="15.75" x14ac:dyDescent="0.25">
      <c r="D665" s="12" t="str">
        <f>IFERROR(VLOOKUP(A665,'⚖️ Balance à importer'!A:D,4,FALSE) - VLOOKUP(A665,'⚖️ Balance à importer'!A:D,3,FALSE), "")</f>
        <v/>
      </c>
    </row>
    <row r="666" spans="4:4" ht="15.75" x14ac:dyDescent="0.25">
      <c r="D666" s="12" t="str">
        <f>IFERROR(VLOOKUP(A666,'⚖️ Balance à importer'!A:D,4,FALSE) - VLOOKUP(A666,'⚖️ Balance à importer'!A:D,3,FALSE), "")</f>
        <v/>
      </c>
    </row>
    <row r="667" spans="4:4" ht="15.75" x14ac:dyDescent="0.25">
      <c r="D667" s="12" t="str">
        <f>IFERROR(VLOOKUP(A667,'⚖️ Balance à importer'!A:D,4,FALSE) - VLOOKUP(A667,'⚖️ Balance à importer'!A:D,3,FALSE), "")</f>
        <v/>
      </c>
    </row>
    <row r="668" spans="4:4" ht="15.75" x14ac:dyDescent="0.25">
      <c r="D668" s="12" t="str">
        <f>IFERROR(VLOOKUP(A668,'⚖️ Balance à importer'!A:D,4,FALSE) - VLOOKUP(A668,'⚖️ Balance à importer'!A:D,3,FALSE), "")</f>
        <v/>
      </c>
    </row>
    <row r="669" spans="4:4" ht="15.75" x14ac:dyDescent="0.25">
      <c r="D669" s="12" t="str">
        <f>IFERROR(VLOOKUP(A669,'⚖️ Balance à importer'!A:D,4,FALSE) - VLOOKUP(A669,'⚖️ Balance à importer'!A:D,3,FALSE), "")</f>
        <v/>
      </c>
    </row>
    <row r="670" spans="4:4" ht="15.75" x14ac:dyDescent="0.25">
      <c r="D670" s="12" t="str">
        <f>IFERROR(VLOOKUP(A670,'⚖️ Balance à importer'!A:D,4,FALSE) - VLOOKUP(A670,'⚖️ Balance à importer'!A:D,3,FALSE), "")</f>
        <v/>
      </c>
    </row>
    <row r="671" spans="4:4" ht="15.75" x14ac:dyDescent="0.25">
      <c r="D671" s="12" t="str">
        <f>IFERROR(VLOOKUP(A671,'⚖️ Balance à importer'!A:D,4,FALSE) - VLOOKUP(A671,'⚖️ Balance à importer'!A:D,3,FALSE), "")</f>
        <v/>
      </c>
    </row>
    <row r="672" spans="4:4" ht="15.75" x14ac:dyDescent="0.25">
      <c r="D672" s="12" t="str">
        <f>IFERROR(VLOOKUP(A672,'⚖️ Balance à importer'!A:D,4,FALSE) - VLOOKUP(A672,'⚖️ Balance à importer'!A:D,3,FALSE), "")</f>
        <v/>
      </c>
    </row>
    <row r="673" spans="4:4" ht="15.75" x14ac:dyDescent="0.25">
      <c r="D673" s="12" t="str">
        <f>IFERROR(VLOOKUP(A673,'⚖️ Balance à importer'!A:D,4,FALSE) - VLOOKUP(A673,'⚖️ Balance à importer'!A:D,3,FALSE), "")</f>
        <v/>
      </c>
    </row>
    <row r="674" spans="4:4" ht="15.75" x14ac:dyDescent="0.25">
      <c r="D674" s="12" t="str">
        <f>IFERROR(VLOOKUP(A674,'⚖️ Balance à importer'!A:D,4,FALSE) - VLOOKUP(A674,'⚖️ Balance à importer'!A:D,3,FALSE), "")</f>
        <v/>
      </c>
    </row>
    <row r="675" spans="4:4" ht="15.75" x14ac:dyDescent="0.25">
      <c r="D675" s="12" t="str">
        <f>IFERROR(VLOOKUP(A675,'⚖️ Balance à importer'!A:D,4,FALSE) - VLOOKUP(A675,'⚖️ Balance à importer'!A:D,3,FALSE), "")</f>
        <v/>
      </c>
    </row>
    <row r="676" spans="4:4" ht="15.75" x14ac:dyDescent="0.25">
      <c r="D676" s="12" t="str">
        <f>IFERROR(VLOOKUP(A676,'⚖️ Balance à importer'!A:D,4,FALSE) - VLOOKUP(A676,'⚖️ Balance à importer'!A:D,3,FALSE), "")</f>
        <v/>
      </c>
    </row>
    <row r="677" spans="4:4" ht="15.75" x14ac:dyDescent="0.25">
      <c r="D677" s="12" t="str">
        <f>IFERROR(VLOOKUP(A677,'⚖️ Balance à importer'!A:D,4,FALSE) - VLOOKUP(A677,'⚖️ Balance à importer'!A:D,3,FALSE), "")</f>
        <v/>
      </c>
    </row>
    <row r="678" spans="4:4" ht="15.75" x14ac:dyDescent="0.25">
      <c r="D678" s="12" t="str">
        <f>IFERROR(VLOOKUP(A678,'⚖️ Balance à importer'!A:D,4,FALSE) - VLOOKUP(A678,'⚖️ Balance à importer'!A:D,3,FALSE), "")</f>
        <v/>
      </c>
    </row>
    <row r="679" spans="4:4" ht="15.75" x14ac:dyDescent="0.25">
      <c r="D679" s="12" t="str">
        <f>IFERROR(VLOOKUP(A679,'⚖️ Balance à importer'!A:D,4,FALSE) - VLOOKUP(A679,'⚖️ Balance à importer'!A:D,3,FALSE), "")</f>
        <v/>
      </c>
    </row>
    <row r="680" spans="4:4" ht="15.75" x14ac:dyDescent="0.25">
      <c r="D680" s="12" t="str">
        <f>IFERROR(VLOOKUP(A680,'⚖️ Balance à importer'!A:D,4,FALSE) - VLOOKUP(A680,'⚖️ Balance à importer'!A:D,3,FALSE), "")</f>
        <v/>
      </c>
    </row>
    <row r="681" spans="4:4" ht="15.75" x14ac:dyDescent="0.25">
      <c r="D681" s="12" t="str">
        <f>IFERROR(VLOOKUP(A681,'⚖️ Balance à importer'!A:D,4,FALSE) - VLOOKUP(A681,'⚖️ Balance à importer'!A:D,3,FALSE), "")</f>
        <v/>
      </c>
    </row>
    <row r="682" spans="4:4" ht="15.75" x14ac:dyDescent="0.25">
      <c r="D682" s="12" t="str">
        <f>IFERROR(VLOOKUP(A682,'⚖️ Balance à importer'!A:D,4,FALSE) - VLOOKUP(A682,'⚖️ Balance à importer'!A:D,3,FALSE), "")</f>
        <v/>
      </c>
    </row>
    <row r="683" spans="4:4" ht="15.75" x14ac:dyDescent="0.25">
      <c r="D683" s="12" t="str">
        <f>IFERROR(VLOOKUP(A683,'⚖️ Balance à importer'!A:D,4,FALSE) - VLOOKUP(A683,'⚖️ Balance à importer'!A:D,3,FALSE), "")</f>
        <v/>
      </c>
    </row>
    <row r="684" spans="4:4" ht="15.75" x14ac:dyDescent="0.25">
      <c r="D684" s="12" t="str">
        <f>IFERROR(VLOOKUP(A684,'⚖️ Balance à importer'!A:D,4,FALSE) - VLOOKUP(A684,'⚖️ Balance à importer'!A:D,3,FALSE), "")</f>
        <v/>
      </c>
    </row>
    <row r="685" spans="4:4" ht="15.75" x14ac:dyDescent="0.25">
      <c r="D685" s="12" t="str">
        <f>IFERROR(VLOOKUP(A685,'⚖️ Balance à importer'!A:D,4,FALSE) - VLOOKUP(A685,'⚖️ Balance à importer'!A:D,3,FALSE), "")</f>
        <v/>
      </c>
    </row>
    <row r="686" spans="4:4" ht="15.75" x14ac:dyDescent="0.25">
      <c r="D686" s="12" t="str">
        <f>IFERROR(VLOOKUP(A686,'⚖️ Balance à importer'!A:D,4,FALSE) - VLOOKUP(A686,'⚖️ Balance à importer'!A:D,3,FALSE), "")</f>
        <v/>
      </c>
    </row>
    <row r="687" spans="4:4" ht="15.75" x14ac:dyDescent="0.25">
      <c r="D687" s="12" t="str">
        <f>IFERROR(VLOOKUP(A687,'⚖️ Balance à importer'!A:D,4,FALSE) - VLOOKUP(A687,'⚖️ Balance à importer'!A:D,3,FALSE), "")</f>
        <v/>
      </c>
    </row>
    <row r="688" spans="4:4" ht="15.75" x14ac:dyDescent="0.25">
      <c r="D688" s="12" t="str">
        <f>IFERROR(VLOOKUP(A688,'⚖️ Balance à importer'!A:D,4,FALSE) - VLOOKUP(A688,'⚖️ Balance à importer'!A:D,3,FALSE), "")</f>
        <v/>
      </c>
    </row>
    <row r="689" spans="4:4" ht="15.75" x14ac:dyDescent="0.25">
      <c r="D689" s="12" t="str">
        <f>IFERROR(VLOOKUP(A689,'⚖️ Balance à importer'!A:D,4,FALSE) - VLOOKUP(A689,'⚖️ Balance à importer'!A:D,3,FALSE), "")</f>
        <v/>
      </c>
    </row>
    <row r="690" spans="4:4" ht="15.75" x14ac:dyDescent="0.25">
      <c r="D690" s="12" t="str">
        <f>IFERROR(VLOOKUP(A690,'⚖️ Balance à importer'!A:D,4,FALSE) - VLOOKUP(A690,'⚖️ Balance à importer'!A:D,3,FALSE), "")</f>
        <v/>
      </c>
    </row>
    <row r="691" spans="4:4" ht="15.75" x14ac:dyDescent="0.25">
      <c r="D691" s="12" t="str">
        <f>IFERROR(VLOOKUP(A691,'⚖️ Balance à importer'!A:D,4,FALSE) - VLOOKUP(A691,'⚖️ Balance à importer'!A:D,3,FALSE), "")</f>
        <v/>
      </c>
    </row>
    <row r="692" spans="4:4" ht="15.75" x14ac:dyDescent="0.25">
      <c r="D692" s="12" t="str">
        <f>IFERROR(VLOOKUP(A692,'⚖️ Balance à importer'!A:D,4,FALSE) - VLOOKUP(A692,'⚖️ Balance à importer'!A:D,3,FALSE), "")</f>
        <v/>
      </c>
    </row>
    <row r="693" spans="4:4" ht="15.75" x14ac:dyDescent="0.25">
      <c r="D693" s="12" t="str">
        <f>IFERROR(VLOOKUP(A693,'⚖️ Balance à importer'!A:D,4,FALSE) - VLOOKUP(A693,'⚖️ Balance à importer'!A:D,3,FALSE), "")</f>
        <v/>
      </c>
    </row>
    <row r="694" spans="4:4" ht="15.75" x14ac:dyDescent="0.25">
      <c r="D694" s="12" t="str">
        <f>IFERROR(VLOOKUP(A694,'⚖️ Balance à importer'!A:D,4,FALSE) - VLOOKUP(A694,'⚖️ Balance à importer'!A:D,3,FALSE), "")</f>
        <v/>
      </c>
    </row>
    <row r="695" spans="4:4" ht="15.75" x14ac:dyDescent="0.25">
      <c r="D695" s="12" t="str">
        <f>IFERROR(VLOOKUP(A695,'⚖️ Balance à importer'!A:D,4,FALSE) - VLOOKUP(A695,'⚖️ Balance à importer'!A:D,3,FALSE), "")</f>
        <v/>
      </c>
    </row>
    <row r="696" spans="4:4" ht="15.75" x14ac:dyDescent="0.25">
      <c r="D696" s="12" t="str">
        <f>IFERROR(VLOOKUP(A696,'⚖️ Balance à importer'!A:D,4,FALSE) - VLOOKUP(A696,'⚖️ Balance à importer'!A:D,3,FALSE), "")</f>
        <v/>
      </c>
    </row>
    <row r="697" spans="4:4" ht="15.75" x14ac:dyDescent="0.25">
      <c r="D697" s="12" t="str">
        <f>IFERROR(VLOOKUP(A697,'⚖️ Balance à importer'!A:D,4,FALSE) - VLOOKUP(A697,'⚖️ Balance à importer'!A:D,3,FALSE), "")</f>
        <v/>
      </c>
    </row>
    <row r="698" spans="4:4" ht="15.75" x14ac:dyDescent="0.25">
      <c r="D698" s="12" t="str">
        <f>IFERROR(VLOOKUP(A698,'⚖️ Balance à importer'!A:D,4,FALSE) - VLOOKUP(A698,'⚖️ Balance à importer'!A:D,3,FALSE), "")</f>
        <v/>
      </c>
    </row>
    <row r="699" spans="4:4" ht="15.75" x14ac:dyDescent="0.25">
      <c r="D699" s="12" t="str">
        <f>IFERROR(VLOOKUP(A699,'⚖️ Balance à importer'!A:D,4,FALSE) - VLOOKUP(A699,'⚖️ Balance à importer'!A:D,3,FALSE), "")</f>
        <v/>
      </c>
    </row>
    <row r="700" spans="4:4" ht="15.75" x14ac:dyDescent="0.25">
      <c r="D700" s="12" t="str">
        <f>IFERROR(VLOOKUP(A700,'⚖️ Balance à importer'!A:D,4,FALSE) - VLOOKUP(A700,'⚖️ Balance à importer'!A:D,3,FALSE), "")</f>
        <v/>
      </c>
    </row>
    <row r="701" spans="4:4" ht="15.75" x14ac:dyDescent="0.25">
      <c r="D701" s="12" t="str">
        <f>IFERROR(VLOOKUP(A701,'⚖️ Balance à importer'!A:D,4,FALSE) - VLOOKUP(A701,'⚖️ Balance à importer'!A:D,3,FALSE), "")</f>
        <v/>
      </c>
    </row>
    <row r="702" spans="4:4" ht="15.75" x14ac:dyDescent="0.25">
      <c r="D702" s="12" t="str">
        <f>IFERROR(VLOOKUP(A702,'⚖️ Balance à importer'!A:D,4,FALSE) - VLOOKUP(A702,'⚖️ Balance à importer'!A:D,3,FALSE), "")</f>
        <v/>
      </c>
    </row>
    <row r="703" spans="4:4" ht="15.75" x14ac:dyDescent="0.25">
      <c r="D703" s="12" t="str">
        <f>IFERROR(VLOOKUP(A703,'⚖️ Balance à importer'!A:D,4,FALSE) - VLOOKUP(A703,'⚖️ Balance à importer'!A:D,3,FALSE), "")</f>
        <v/>
      </c>
    </row>
    <row r="704" spans="4:4" ht="15.75" x14ac:dyDescent="0.25">
      <c r="D704" s="12" t="str">
        <f>IFERROR(VLOOKUP(A704,'⚖️ Balance à importer'!A:D,4,FALSE) - VLOOKUP(A704,'⚖️ Balance à importer'!A:D,3,FALSE), "")</f>
        <v/>
      </c>
    </row>
    <row r="705" spans="4:4" ht="15.75" x14ac:dyDescent="0.25">
      <c r="D705" s="12" t="str">
        <f>IFERROR(VLOOKUP(A705,'⚖️ Balance à importer'!A:D,4,FALSE) - VLOOKUP(A705,'⚖️ Balance à importer'!A:D,3,FALSE), "")</f>
        <v/>
      </c>
    </row>
  </sheetData>
  <sheetProtection sheet="1" selectLockedCells="1" selectUnlockedCells="1"/>
  <mergeCells count="6">
    <mergeCell ref="A6:C6"/>
    <mergeCell ref="A1:D1"/>
    <mergeCell ref="A2:C2"/>
    <mergeCell ref="A3:C3"/>
    <mergeCell ref="A4:C4"/>
    <mergeCell ref="A5:C5"/>
  </mergeCells>
  <pageMargins left="0.75" right="0.75" top="1" bottom="1" header="0.5" footer="0.5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93E52-745D-46C3-B6A8-C3A5AD637ACD}">
  <sheetPr codeName="Feuil8">
    <tabColor theme="4" tint="0.59999389629810485"/>
    <pageSetUpPr fitToPage="1"/>
  </sheetPr>
  <dimension ref="A1:E705"/>
  <sheetViews>
    <sheetView showGridLines="0" workbookViewId="0">
      <selection sqref="A1:D1"/>
    </sheetView>
  </sheetViews>
  <sheetFormatPr baseColWidth="10" defaultColWidth="9.140625" defaultRowHeight="15" x14ac:dyDescent="0.25"/>
  <cols>
    <col min="1" max="1" width="19.28515625" style="8" bestFit="1" customWidth="1"/>
    <col min="2" max="2" width="67" bestFit="1" customWidth="1"/>
    <col min="3" max="3" width="36.140625" style="8" bestFit="1" customWidth="1"/>
    <col min="4" max="4" width="15.5703125" style="13" bestFit="1" customWidth="1"/>
    <col min="5" max="5" width="16.140625" bestFit="1" customWidth="1"/>
  </cols>
  <sheetData>
    <row r="1" spans="1:5" ht="57" customHeight="1" thickBot="1" x14ac:dyDescent="0.3">
      <c r="A1" s="61" t="s">
        <v>160</v>
      </c>
      <c r="B1" s="61"/>
      <c r="C1" s="61"/>
      <c r="D1" s="61"/>
    </row>
    <row r="2" spans="1:5" ht="37.5" customHeight="1" x14ac:dyDescent="0.25">
      <c r="A2" s="62" t="s">
        <v>161</v>
      </c>
      <c r="B2" s="62"/>
      <c r="C2" s="62"/>
      <c r="D2" s="11" t="s">
        <v>162</v>
      </c>
    </row>
    <row r="3" spans="1:5" ht="19.5" customHeight="1" x14ac:dyDescent="0.25">
      <c r="A3" s="60" t="s">
        <v>163</v>
      </c>
      <c r="B3" s="60"/>
      <c r="C3" s="60"/>
      <c r="D3" s="21">
        <f>SUMIF(C15:C702,"Champ avec droit à déduction",D15:D702)</f>
        <v>0</v>
      </c>
    </row>
    <row r="4" spans="1:5" ht="19.5" customHeight="1" x14ac:dyDescent="0.25">
      <c r="A4" s="60" t="s">
        <v>164</v>
      </c>
      <c r="B4" s="60"/>
      <c r="C4" s="60"/>
      <c r="D4" s="21">
        <f>SUMIF(C15:C702,"Champ sans droit à déduction",D15:D702)</f>
        <v>0</v>
      </c>
    </row>
    <row r="5" spans="1:5" ht="19.5" customHeight="1" x14ac:dyDescent="0.25">
      <c r="A5" s="60" t="s">
        <v>165</v>
      </c>
      <c r="B5" s="60"/>
      <c r="C5" s="60"/>
      <c r="D5" s="21">
        <f>SUMIF(C15:C702,"Hors champ TVA ou exclu légalement",D15:D702)</f>
        <v>0</v>
      </c>
    </row>
    <row r="6" spans="1:5" ht="19.5" customHeight="1" x14ac:dyDescent="0.25">
      <c r="A6" s="60" t="s">
        <v>166</v>
      </c>
      <c r="B6" s="60"/>
      <c r="C6" s="60"/>
      <c r="D6" s="21">
        <f>D3+D4+D5</f>
        <v>0</v>
      </c>
    </row>
    <row r="7" spans="1:5" ht="15.75" x14ac:dyDescent="0.25">
      <c r="A7" s="45"/>
      <c r="B7" s="45"/>
      <c r="C7" s="45"/>
      <c r="D7" s="46"/>
    </row>
    <row r="8" spans="1:5" ht="20.25" customHeight="1" x14ac:dyDescent="0.25">
      <c r="A8" s="50" t="s">
        <v>167</v>
      </c>
      <c r="B8" s="50" t="s">
        <v>168</v>
      </c>
      <c r="C8" s="50" t="s">
        <v>169</v>
      </c>
      <c r="D8" s="51" t="s">
        <v>170</v>
      </c>
    </row>
    <row r="9" spans="1:5" ht="51" customHeight="1" x14ac:dyDescent="0.25">
      <c r="A9" s="48" t="s">
        <v>171</v>
      </c>
      <c r="B9" s="48" t="s">
        <v>172</v>
      </c>
      <c r="C9" s="48" t="s">
        <v>173</v>
      </c>
      <c r="D9" s="52">
        <f>IF(D3=0,0,(D3/(D3+D4)))</f>
        <v>0</v>
      </c>
    </row>
    <row r="10" spans="1:5" ht="51" customHeight="1" x14ac:dyDescent="0.25">
      <c r="A10" s="48" t="s">
        <v>174</v>
      </c>
      <c r="B10" s="48" t="s">
        <v>175</v>
      </c>
      <c r="C10" s="49" t="s">
        <v>176</v>
      </c>
      <c r="D10" s="52">
        <f>(2/3)</f>
        <v>0.66666666666666663</v>
      </c>
    </row>
    <row r="11" spans="1:5" ht="51" customHeight="1" thickBot="1" x14ac:dyDescent="0.3">
      <c r="A11" s="48" t="s">
        <v>177</v>
      </c>
      <c r="B11" s="48" t="s">
        <v>178</v>
      </c>
      <c r="C11" s="48" t="s">
        <v>179</v>
      </c>
      <c r="D11" s="53">
        <v>1</v>
      </c>
    </row>
    <row r="12" spans="1:5" ht="51" customHeight="1" thickBot="1" x14ac:dyDescent="0.3">
      <c r="A12" s="47" t="s">
        <v>180</v>
      </c>
      <c r="B12" s="47" t="s">
        <v>181</v>
      </c>
      <c r="C12" s="54" t="s">
        <v>182</v>
      </c>
      <c r="D12" s="55">
        <f>D9*D10*D11</f>
        <v>0</v>
      </c>
    </row>
    <row r="14" spans="1:5" ht="18.75" x14ac:dyDescent="0.25">
      <c r="A14" s="5" t="s">
        <v>47</v>
      </c>
      <c r="B14" s="5" t="s">
        <v>157</v>
      </c>
      <c r="C14" s="5" t="s">
        <v>183</v>
      </c>
      <c r="D14" s="11" t="s">
        <v>162</v>
      </c>
      <c r="E14" s="1"/>
    </row>
    <row r="15" spans="1:5" ht="18.95" customHeight="1" x14ac:dyDescent="0.25">
      <c r="A15" s="10" t="e" cm="1" vm="1">
        <f t="array" ref="A15">_xlfn._xlws.FILTER('⚖️ Balance à importer'!A4:A1000, (LEFT(TEXT('⚖️ Balance à importer'!A4:A1000,"@"),1)="7") * ('⚖️ Balance à importer'!A4:A1000&lt;&gt;""))</f>
        <v>#VALUE!</v>
      </c>
      <c r="B15" s="9" t="e" vm="2">
        <f>IF(A15="","",VLOOKUP(A15,'⚖️ Balance à importer'!A:G,2,FALSE))</f>
        <v>#VALUE!</v>
      </c>
      <c r="C15" s="10" t="e" vm="2">
        <f>IF(A15="","",VLOOKUP(A15,'📄 Exemple PCG'!A:F,6,FALSE))</f>
        <v>#VALUE!</v>
      </c>
      <c r="D15" s="12" t="str">
        <f>IFERROR(VLOOKUP(A15,'⚖️ Balance à importer'!A:D,4,FALSE) - VLOOKUP(A15,'⚖️ Balance à importer'!A:D,3,FALSE), "")</f>
        <v/>
      </c>
    </row>
    <row r="16" spans="1:5" ht="18.95" customHeight="1" x14ac:dyDescent="0.25">
      <c r="A16" s="10"/>
      <c r="B16" s="9" t="str">
        <f>IF(A16="","",VLOOKUP(A16,'⚖️ Balance à importer'!A:G,2,FALSE))</f>
        <v/>
      </c>
      <c r="C16" s="10" t="str">
        <f>IF(A16="","",VLOOKUP(A16,'📄 Exemple PCG'!A:F,6,FALSE))</f>
        <v/>
      </c>
      <c r="D16" s="12" t="str">
        <f>IFERROR(VLOOKUP(A16,'⚖️ Balance à importer'!A:D,4,FALSE) - VLOOKUP(A16,'⚖️ Balance à importer'!A:D,3,FALSE), "")</f>
        <v/>
      </c>
    </row>
    <row r="17" spans="1:4" ht="18.95" customHeight="1" x14ac:dyDescent="0.25">
      <c r="A17" s="10"/>
      <c r="B17" s="9" t="str">
        <f>IF(A17="","",VLOOKUP(A17,'⚖️ Balance à importer'!A:G,2,FALSE))</f>
        <v/>
      </c>
      <c r="C17" s="10" t="str">
        <f>IF(A17="","",VLOOKUP(A17,'📄 Exemple PCG'!A:F,6,FALSE))</f>
        <v/>
      </c>
      <c r="D17" s="12" t="str">
        <f>IFERROR(VLOOKUP(A17,'⚖️ Balance à importer'!A:D,4,FALSE) - VLOOKUP(A17,'⚖️ Balance à importer'!A:D,3,FALSE), "")</f>
        <v/>
      </c>
    </row>
    <row r="18" spans="1:4" ht="18.95" customHeight="1" x14ac:dyDescent="0.25">
      <c r="A18" s="10"/>
      <c r="B18" s="9" t="str">
        <f>IF(A18="","",VLOOKUP(A18,'⚖️ Balance à importer'!A:G,2,FALSE))</f>
        <v/>
      </c>
      <c r="C18" s="10" t="str">
        <f>IF(A18="","",VLOOKUP(A18,'📄 Exemple PCG'!A:F,6,FALSE))</f>
        <v/>
      </c>
      <c r="D18" s="12" t="str">
        <f>IFERROR(VLOOKUP(A18,'⚖️ Balance à importer'!A:D,4,FALSE) - VLOOKUP(A18,'⚖️ Balance à importer'!A:D,3,FALSE), "")</f>
        <v/>
      </c>
    </row>
    <row r="19" spans="1:4" ht="18.95" customHeight="1" x14ac:dyDescent="0.25">
      <c r="A19" s="10"/>
      <c r="B19" s="9" t="str">
        <f>IF(A19="","",VLOOKUP(A19,'⚖️ Balance à importer'!A:G,2,FALSE))</f>
        <v/>
      </c>
      <c r="C19" s="10" t="str">
        <f>IF(A19="","",VLOOKUP(A19,'📄 Exemple PCG'!A:F,6,FALSE))</f>
        <v/>
      </c>
      <c r="D19" s="12" t="str">
        <f>IFERROR(VLOOKUP(A19,'⚖️ Balance à importer'!A:D,4,FALSE) - VLOOKUP(A19,'⚖️ Balance à importer'!A:D,3,FALSE), "")</f>
        <v/>
      </c>
    </row>
    <row r="20" spans="1:4" ht="18.95" customHeight="1" x14ac:dyDescent="0.25">
      <c r="A20" s="10"/>
      <c r="B20" s="9" t="str">
        <f>IF(A20="","",VLOOKUP(A20,'⚖️ Balance à importer'!A:G,2,FALSE))</f>
        <v/>
      </c>
      <c r="C20" s="10" t="str">
        <f>IF(A20="","",VLOOKUP(A20,'📄 Exemple PCG'!A:F,6,FALSE))</f>
        <v/>
      </c>
      <c r="D20" s="12" t="str">
        <f>IFERROR(VLOOKUP(A20,'⚖️ Balance à importer'!A:D,4,FALSE) - VLOOKUP(A20,'⚖️ Balance à importer'!A:D,3,FALSE), "")</f>
        <v/>
      </c>
    </row>
    <row r="21" spans="1:4" ht="18.95" customHeight="1" x14ac:dyDescent="0.25">
      <c r="A21" s="10"/>
      <c r="B21" s="9" t="str">
        <f>IF(A21="","",VLOOKUP(A21,'⚖️ Balance à importer'!A:G,2,FALSE))</f>
        <v/>
      </c>
      <c r="C21" s="10" t="str">
        <f>IF(A21="","",VLOOKUP(A21,'📄 Exemple PCG'!A:F,6,FALSE))</f>
        <v/>
      </c>
      <c r="D21" s="12" t="str">
        <f>IFERROR(VLOOKUP(A21,'⚖️ Balance à importer'!A:D,4,FALSE) - VLOOKUP(A21,'⚖️ Balance à importer'!A:D,3,FALSE), "")</f>
        <v/>
      </c>
    </row>
    <row r="22" spans="1:4" ht="18.95" customHeight="1" x14ac:dyDescent="0.25">
      <c r="A22" s="10"/>
      <c r="B22" s="9" t="str">
        <f>IF(A22="","",VLOOKUP(A22,'⚖️ Balance à importer'!A:G,2,FALSE))</f>
        <v/>
      </c>
      <c r="C22" s="10" t="str">
        <f>IF(A22="","",VLOOKUP(A22,'📄 Exemple PCG'!A:F,6,FALSE))</f>
        <v/>
      </c>
      <c r="D22" s="12" t="str">
        <f>IFERROR(VLOOKUP(A22,'⚖️ Balance à importer'!A:D,4,FALSE) - VLOOKUP(A22,'⚖️ Balance à importer'!A:D,3,FALSE), "")</f>
        <v/>
      </c>
    </row>
    <row r="23" spans="1:4" ht="18.95" customHeight="1" x14ac:dyDescent="0.25">
      <c r="A23" s="10"/>
      <c r="B23" s="9" t="str">
        <f>IF(A23="","",VLOOKUP(A23,'⚖️ Balance à importer'!A:G,2,FALSE))</f>
        <v/>
      </c>
      <c r="C23" s="10" t="str">
        <f>IF(A23="","",VLOOKUP(A23,'📄 Exemple PCG'!A:F,6,FALSE))</f>
        <v/>
      </c>
      <c r="D23" s="12" t="str">
        <f>IFERROR(VLOOKUP(A23,'⚖️ Balance à importer'!A:D,4,FALSE) - VLOOKUP(A23,'⚖️ Balance à importer'!A:D,3,FALSE), "")</f>
        <v/>
      </c>
    </row>
    <row r="24" spans="1:4" ht="18.95" customHeight="1" x14ac:dyDescent="0.25">
      <c r="A24" s="10"/>
      <c r="B24" s="9" t="str">
        <f>IF(A24="","",VLOOKUP(A24,'⚖️ Balance à importer'!A:G,2,FALSE))</f>
        <v/>
      </c>
      <c r="C24" s="10" t="str">
        <f>IF(A24="","",VLOOKUP(A24,'📄 Exemple PCG'!A:F,6,FALSE))</f>
        <v/>
      </c>
      <c r="D24" s="12" t="str">
        <f>IFERROR(VLOOKUP(A24,'⚖️ Balance à importer'!A:D,4,FALSE) - VLOOKUP(A24,'⚖️ Balance à importer'!A:D,3,FALSE), "")</f>
        <v/>
      </c>
    </row>
    <row r="25" spans="1:4" ht="18.95" customHeight="1" x14ac:dyDescent="0.25">
      <c r="A25" s="10"/>
      <c r="B25" s="9" t="str">
        <f>IF(A25="","",VLOOKUP(A25,'⚖️ Balance à importer'!A:G,2,FALSE))</f>
        <v/>
      </c>
      <c r="C25" s="10" t="str">
        <f>IF(A25="","",VLOOKUP(A25,'📄 Exemple PCG'!A:F,6,FALSE))</f>
        <v/>
      </c>
      <c r="D25" s="12" t="str">
        <f>IFERROR(VLOOKUP(A25,'⚖️ Balance à importer'!A:D,4,FALSE) - VLOOKUP(A25,'⚖️ Balance à importer'!A:D,3,FALSE), "")</f>
        <v/>
      </c>
    </row>
    <row r="26" spans="1:4" ht="18.95" customHeight="1" x14ac:dyDescent="0.25">
      <c r="A26" s="10"/>
      <c r="B26" s="9" t="str">
        <f>IF(A26="","",VLOOKUP(A26,'⚖️ Balance à importer'!A:G,2,FALSE))</f>
        <v/>
      </c>
      <c r="C26" s="10" t="str">
        <f>IF(A26="","",VLOOKUP(A26,'📄 Exemple PCG'!A:F,6,FALSE))</f>
        <v/>
      </c>
      <c r="D26" s="12" t="str">
        <f>IFERROR(VLOOKUP(A26,'⚖️ Balance à importer'!A:D,4,FALSE) - VLOOKUP(A26,'⚖️ Balance à importer'!A:D,3,FALSE), "")</f>
        <v/>
      </c>
    </row>
    <row r="27" spans="1:4" ht="18.95" customHeight="1" x14ac:dyDescent="0.25">
      <c r="A27" s="10"/>
      <c r="B27" s="9" t="str">
        <f>IF(A27="","",VLOOKUP(A27,'⚖️ Balance à importer'!A:G,2,FALSE))</f>
        <v/>
      </c>
      <c r="C27" s="10" t="str">
        <f>IF(A27="","",VLOOKUP(A27,'📄 Exemple PCG'!A:F,6,FALSE))</f>
        <v/>
      </c>
      <c r="D27" s="12" t="str">
        <f>IFERROR(VLOOKUP(A27,'⚖️ Balance à importer'!A:D,4,FALSE) - VLOOKUP(A27,'⚖️ Balance à importer'!A:D,3,FALSE), "")</f>
        <v/>
      </c>
    </row>
    <row r="28" spans="1:4" ht="18.95" customHeight="1" x14ac:dyDescent="0.25">
      <c r="A28" s="10"/>
      <c r="B28" s="9" t="str">
        <f>IF(A28="","",VLOOKUP(A28,'⚖️ Balance à importer'!A:G,2,FALSE))</f>
        <v/>
      </c>
      <c r="C28" s="10" t="str">
        <f>IF(A28="","",VLOOKUP(A28,'📄 Exemple PCG'!A:F,6,FALSE))</f>
        <v/>
      </c>
      <c r="D28" s="12" t="str">
        <f>IFERROR(VLOOKUP(A28,'⚖️ Balance à importer'!A:D,4,FALSE) - VLOOKUP(A28,'⚖️ Balance à importer'!A:D,3,FALSE), "")</f>
        <v/>
      </c>
    </row>
    <row r="29" spans="1:4" ht="18.95" customHeight="1" x14ac:dyDescent="0.25">
      <c r="A29" s="10"/>
      <c r="B29" s="9" t="str">
        <f>IF(A29="","",VLOOKUP(A29,'⚖️ Balance à importer'!A:G,2,FALSE))</f>
        <v/>
      </c>
      <c r="C29" s="10" t="str">
        <f>IF(A29="","",VLOOKUP(A29,'📄 Exemple PCG'!A:F,6,FALSE))</f>
        <v/>
      </c>
      <c r="D29" s="12" t="str">
        <f>IFERROR(VLOOKUP(A29,'⚖️ Balance à importer'!A:D,4,FALSE) - VLOOKUP(A29,'⚖️ Balance à importer'!A:D,3,FALSE), "")</f>
        <v/>
      </c>
    </row>
    <row r="30" spans="1:4" ht="18.95" customHeight="1" x14ac:dyDescent="0.25">
      <c r="A30" s="10"/>
      <c r="B30" s="9" t="str">
        <f>IF(A30="","",VLOOKUP(A30,'⚖️ Balance à importer'!A:G,2,FALSE))</f>
        <v/>
      </c>
      <c r="C30" s="10" t="str">
        <f>IF(A30="","",VLOOKUP(A30,'📄 Exemple PCG'!A:F,6,FALSE))</f>
        <v/>
      </c>
      <c r="D30" s="12" t="str">
        <f>IFERROR(VLOOKUP(A30,'⚖️ Balance à importer'!A:D,4,FALSE) - VLOOKUP(A30,'⚖️ Balance à importer'!A:D,3,FALSE), "")</f>
        <v/>
      </c>
    </row>
    <row r="31" spans="1:4" ht="18.95" customHeight="1" x14ac:dyDescent="0.25">
      <c r="A31" s="10"/>
      <c r="B31" s="9" t="str">
        <f>IF(A31="","",VLOOKUP(A31,'⚖️ Balance à importer'!A:G,2,FALSE))</f>
        <v/>
      </c>
      <c r="C31" s="10" t="str">
        <f>IF(A31="","",VLOOKUP(A31,'📄 Exemple PCG'!A:F,6,FALSE))</f>
        <v/>
      </c>
      <c r="D31" s="12" t="str">
        <f>IFERROR(VLOOKUP(A31,'⚖️ Balance à importer'!A:D,4,FALSE) - VLOOKUP(A31,'⚖️ Balance à importer'!A:D,3,FALSE), "")</f>
        <v/>
      </c>
    </row>
    <row r="32" spans="1:4" ht="18.95" customHeight="1" x14ac:dyDescent="0.25">
      <c r="A32" s="10"/>
      <c r="B32" s="9" t="str">
        <f>IF(A32="","",VLOOKUP(A32,'⚖️ Balance à importer'!A:G,2,FALSE))</f>
        <v/>
      </c>
      <c r="C32" s="10" t="str">
        <f>IF(A32="","",VLOOKUP(A32,'📄 Exemple PCG'!A:F,6,FALSE))</f>
        <v/>
      </c>
      <c r="D32" s="12" t="str">
        <f>IFERROR(VLOOKUP(A32,'⚖️ Balance à importer'!A:D,4,FALSE) - VLOOKUP(A32,'⚖️ Balance à importer'!A:D,3,FALSE), "")</f>
        <v/>
      </c>
    </row>
    <row r="33" spans="2:4" ht="18.95" customHeight="1" x14ac:dyDescent="0.25">
      <c r="B33" t="str">
        <f>IF(A33="","",VLOOKUP(A33,'⚖️ Balance à importer'!A:G,2,FALSE))</f>
        <v/>
      </c>
      <c r="C33" s="10" t="str">
        <f>IF(A33="","",VLOOKUP(A33,'📄 Exemple PCG'!A:F,6,FALSE))</f>
        <v/>
      </c>
      <c r="D33" s="12" t="str">
        <f>IFERROR(VLOOKUP(A33,'⚖️ Balance à importer'!A:D,4,FALSE) - VLOOKUP(A33,'⚖️ Balance à importer'!A:D,3,FALSE), "")</f>
        <v/>
      </c>
    </row>
    <row r="34" spans="2:4" ht="18.95" customHeight="1" x14ac:dyDescent="0.25">
      <c r="B34" t="str">
        <f>IF(A34="","",VLOOKUP(A34,'⚖️ Balance à importer'!A:G,2,FALSE))</f>
        <v/>
      </c>
      <c r="C34" s="10" t="str">
        <f>IF(A34="","",VLOOKUP(A34,'📄 Exemple PCG'!A:F,6,FALSE))</f>
        <v/>
      </c>
      <c r="D34" s="12" t="str">
        <f>IFERROR(VLOOKUP(A34,'⚖️ Balance à importer'!A:D,4,FALSE) - VLOOKUP(A34,'⚖️ Balance à importer'!A:D,3,FALSE), "")</f>
        <v/>
      </c>
    </row>
    <row r="35" spans="2:4" ht="18.95" customHeight="1" x14ac:dyDescent="0.25">
      <c r="B35" t="str">
        <f>IF(A35="","",VLOOKUP(A35,'⚖️ Balance à importer'!A:G,2,FALSE))</f>
        <v/>
      </c>
      <c r="C35" s="10" t="str">
        <f>IF(A35="","",VLOOKUP(A35,'📄 Exemple PCG'!A:F,6,FALSE))</f>
        <v/>
      </c>
      <c r="D35" s="12" t="str">
        <f>IFERROR(VLOOKUP(A35,'⚖️ Balance à importer'!A:D,4,FALSE) - VLOOKUP(A35,'⚖️ Balance à importer'!A:D,3,FALSE), "")</f>
        <v/>
      </c>
    </row>
    <row r="36" spans="2:4" ht="18.95" customHeight="1" x14ac:dyDescent="0.25">
      <c r="B36" t="str">
        <f>IF(A36="","",VLOOKUP(A36,'⚖️ Balance à importer'!A:G,2,FALSE))</f>
        <v/>
      </c>
      <c r="C36" s="10" t="str">
        <f>IF(A36="","",VLOOKUP(A36,'📄 Exemple PCG'!A:F,6,FALSE))</f>
        <v/>
      </c>
      <c r="D36" s="12" t="str">
        <f>IFERROR(VLOOKUP(A36,'⚖️ Balance à importer'!A:D,4,FALSE) - VLOOKUP(A36,'⚖️ Balance à importer'!A:D,3,FALSE), "")</f>
        <v/>
      </c>
    </row>
    <row r="37" spans="2:4" ht="18.95" customHeight="1" x14ac:dyDescent="0.25">
      <c r="B37" t="str">
        <f>IF(A37="","",VLOOKUP(A37,'⚖️ Balance à importer'!A:G,2,FALSE))</f>
        <v/>
      </c>
      <c r="C37" s="10" t="str">
        <f>IF(A37="","",VLOOKUP(A37,'📄 Exemple PCG'!A:F,6,FALSE))</f>
        <v/>
      </c>
      <c r="D37" s="12" t="str">
        <f>IFERROR(VLOOKUP(A37,'⚖️ Balance à importer'!A:D,4,FALSE) - VLOOKUP(A37,'⚖️ Balance à importer'!A:D,3,FALSE), "")</f>
        <v/>
      </c>
    </row>
    <row r="38" spans="2:4" ht="18.95" customHeight="1" x14ac:dyDescent="0.25">
      <c r="B38" t="str">
        <f>IF(A38="","",VLOOKUP(A38,'⚖️ Balance à importer'!A:G,2,FALSE))</f>
        <v/>
      </c>
      <c r="C38" s="10" t="str">
        <f>IF(A38="","",VLOOKUP(A38,'📄 Exemple PCG'!A:F,6,FALSE))</f>
        <v/>
      </c>
      <c r="D38" s="12" t="str">
        <f>IFERROR(VLOOKUP(A38,'⚖️ Balance à importer'!A:D,4,FALSE) - VLOOKUP(A38,'⚖️ Balance à importer'!A:D,3,FALSE), "")</f>
        <v/>
      </c>
    </row>
    <row r="39" spans="2:4" ht="18.95" customHeight="1" x14ac:dyDescent="0.25">
      <c r="B39" t="str">
        <f>IF(A39="","",VLOOKUP(A39,'⚖️ Balance à importer'!A:G,2,FALSE))</f>
        <v/>
      </c>
      <c r="C39" s="10" t="str">
        <f>IF(A39="","",VLOOKUP(A39,'📄 Exemple PCG'!A:F,6,FALSE))</f>
        <v/>
      </c>
      <c r="D39" s="12" t="str">
        <f>IFERROR(VLOOKUP(A39,'⚖️ Balance à importer'!A:D,4,FALSE) - VLOOKUP(A39,'⚖️ Balance à importer'!A:D,3,FALSE), "")</f>
        <v/>
      </c>
    </row>
    <row r="40" spans="2:4" ht="18.95" customHeight="1" x14ac:dyDescent="0.25">
      <c r="B40" t="str">
        <f>IF(A40="","",VLOOKUP(A40,'⚖️ Balance à importer'!A:G,2,FALSE))</f>
        <v/>
      </c>
      <c r="C40" s="10" t="str">
        <f>IF(A40="","",VLOOKUP(A40,'📄 Exemple PCG'!A:F,6,FALSE))</f>
        <v/>
      </c>
      <c r="D40" s="12" t="str">
        <f>IFERROR(VLOOKUP(A40,'⚖️ Balance à importer'!A:D,4,FALSE) - VLOOKUP(A40,'⚖️ Balance à importer'!A:D,3,FALSE), "")</f>
        <v/>
      </c>
    </row>
    <row r="41" spans="2:4" ht="18.95" customHeight="1" x14ac:dyDescent="0.25">
      <c r="B41" t="str">
        <f>IF(A41="","",VLOOKUP(A41,'⚖️ Balance à importer'!A:G,2,FALSE))</f>
        <v/>
      </c>
      <c r="C41" s="10" t="str">
        <f>IF(A41="","",VLOOKUP(A41,'📄 Exemple PCG'!A:F,6,FALSE))</f>
        <v/>
      </c>
      <c r="D41" s="12" t="str">
        <f>IFERROR(VLOOKUP(A41,'⚖️ Balance à importer'!A:D,4,FALSE) - VLOOKUP(A41,'⚖️ Balance à importer'!A:D,3,FALSE), "")</f>
        <v/>
      </c>
    </row>
    <row r="42" spans="2:4" ht="18.95" customHeight="1" x14ac:dyDescent="0.25">
      <c r="B42" t="str">
        <f>IF(A42="","",VLOOKUP(A42,'⚖️ Balance à importer'!A:G,2,FALSE))</f>
        <v/>
      </c>
      <c r="C42" s="10" t="str">
        <f>IF(A42="","",VLOOKUP(A42,'📄 Exemple PCG'!A:F,6,FALSE))</f>
        <v/>
      </c>
      <c r="D42" s="12" t="str">
        <f>IFERROR(VLOOKUP(A42,'⚖️ Balance à importer'!A:D,4,FALSE) - VLOOKUP(A42,'⚖️ Balance à importer'!A:D,3,FALSE), "")</f>
        <v/>
      </c>
    </row>
    <row r="43" spans="2:4" ht="18.95" customHeight="1" x14ac:dyDescent="0.25">
      <c r="B43" t="str">
        <f>IF(A43="","",VLOOKUP(A43,'⚖️ Balance à importer'!A:G,2,FALSE))</f>
        <v/>
      </c>
      <c r="C43" s="10" t="str">
        <f>IF(A43="","",VLOOKUP(A43,'📄 Exemple PCG'!A:F,6,FALSE))</f>
        <v/>
      </c>
      <c r="D43" s="12" t="str">
        <f>IFERROR(VLOOKUP(A43,'⚖️ Balance à importer'!A:D,4,FALSE) - VLOOKUP(A43,'⚖️ Balance à importer'!A:D,3,FALSE), "")</f>
        <v/>
      </c>
    </row>
    <row r="44" spans="2:4" ht="18.95" customHeight="1" x14ac:dyDescent="0.25">
      <c r="B44" t="str">
        <f>IF(A44="","",VLOOKUP(A44,'⚖️ Balance à importer'!A:G,2,FALSE))</f>
        <v/>
      </c>
      <c r="C44" s="10" t="str">
        <f>IF(A44="","",VLOOKUP(A44,'📄 Exemple PCG'!A:F,6,FALSE))</f>
        <v/>
      </c>
      <c r="D44" s="12" t="str">
        <f>IFERROR(VLOOKUP(A44,'⚖️ Balance à importer'!A:D,4,FALSE) - VLOOKUP(A44,'⚖️ Balance à importer'!A:D,3,FALSE), "")</f>
        <v/>
      </c>
    </row>
    <row r="45" spans="2:4" ht="18.95" customHeight="1" x14ac:dyDescent="0.25">
      <c r="B45" t="str">
        <f>IF(A45="","",VLOOKUP(A45,'⚖️ Balance à importer'!A:G,2,FALSE))</f>
        <v/>
      </c>
      <c r="C45" s="10" t="str">
        <f>IF(A45="","",VLOOKUP(A45,'📄 Exemple PCG'!A:F,6,FALSE))</f>
        <v/>
      </c>
      <c r="D45" s="12" t="str">
        <f>IFERROR(VLOOKUP(A45,'⚖️ Balance à importer'!A:D,4,FALSE) - VLOOKUP(A45,'⚖️ Balance à importer'!A:D,3,FALSE), "")</f>
        <v/>
      </c>
    </row>
    <row r="46" spans="2:4" ht="18.95" customHeight="1" x14ac:dyDescent="0.25">
      <c r="B46" t="str">
        <f>IF(A46="","",VLOOKUP(A46,'⚖️ Balance à importer'!A:G,2,FALSE))</f>
        <v/>
      </c>
      <c r="C46" s="10" t="str">
        <f>IF(A46="","",VLOOKUP(A46,'📄 Exemple PCG'!A:F,6,FALSE))</f>
        <v/>
      </c>
      <c r="D46" s="12" t="str">
        <f>IFERROR(VLOOKUP(A46,'⚖️ Balance à importer'!A:D,4,FALSE) - VLOOKUP(A46,'⚖️ Balance à importer'!A:D,3,FALSE), "")</f>
        <v/>
      </c>
    </row>
    <row r="47" spans="2:4" ht="18.95" customHeight="1" x14ac:dyDescent="0.25">
      <c r="B47" t="str">
        <f>IF(A47="","",VLOOKUP(A47,'⚖️ Balance à importer'!A:G,2,FALSE))</f>
        <v/>
      </c>
      <c r="C47" s="10" t="str">
        <f>IF(A47="","",VLOOKUP(A47,'📄 Exemple PCG'!A:F,6,FALSE))</f>
        <v/>
      </c>
      <c r="D47" s="12" t="str">
        <f>IFERROR(VLOOKUP(A47,'⚖️ Balance à importer'!A:D,4,FALSE) - VLOOKUP(A47,'⚖️ Balance à importer'!A:D,3,FALSE), "")</f>
        <v/>
      </c>
    </row>
    <row r="48" spans="2:4" ht="18.95" customHeight="1" x14ac:dyDescent="0.25">
      <c r="B48" t="str">
        <f>IF(A48="","",VLOOKUP(A48,'⚖️ Balance à importer'!A:G,2,FALSE))</f>
        <v/>
      </c>
      <c r="D48" s="12" t="str">
        <f>IFERROR(VLOOKUP(A48,'⚖️ Balance à importer'!A:D,4,FALSE) - VLOOKUP(A48,'⚖️ Balance à importer'!A:D,3,FALSE), "")</f>
        <v/>
      </c>
    </row>
    <row r="49" spans="4:4" ht="18.95" customHeight="1" x14ac:dyDescent="0.25">
      <c r="D49" s="12" t="str">
        <f>IFERROR(VLOOKUP(A49,'⚖️ Balance à importer'!A:D,4,FALSE) - VLOOKUP(A49,'⚖️ Balance à importer'!A:D,3,FALSE), "")</f>
        <v/>
      </c>
    </row>
    <row r="50" spans="4:4" ht="18.95" customHeight="1" x14ac:dyDescent="0.25">
      <c r="D50" s="12" t="str">
        <f>IFERROR(VLOOKUP(A50,'⚖️ Balance à importer'!A:D,4,FALSE) - VLOOKUP(A50,'⚖️ Balance à importer'!A:D,3,FALSE), "")</f>
        <v/>
      </c>
    </row>
    <row r="51" spans="4:4" ht="18.95" customHeight="1" x14ac:dyDescent="0.25">
      <c r="D51" s="12" t="str">
        <f>IFERROR(VLOOKUP(A51,'⚖️ Balance à importer'!A:D,4,FALSE) - VLOOKUP(A51,'⚖️ Balance à importer'!A:D,3,FALSE), "")</f>
        <v/>
      </c>
    </row>
    <row r="52" spans="4:4" ht="18.95" customHeight="1" x14ac:dyDescent="0.25">
      <c r="D52" s="12" t="str">
        <f>IFERROR(VLOOKUP(A52,'⚖️ Balance à importer'!A:D,4,FALSE) - VLOOKUP(A52,'⚖️ Balance à importer'!A:D,3,FALSE), "")</f>
        <v/>
      </c>
    </row>
    <row r="53" spans="4:4" ht="18.95" customHeight="1" x14ac:dyDescent="0.25">
      <c r="D53" s="12" t="str">
        <f>IFERROR(VLOOKUP(A53,'⚖️ Balance à importer'!A:D,4,FALSE) - VLOOKUP(A53,'⚖️ Balance à importer'!A:D,3,FALSE), "")</f>
        <v/>
      </c>
    </row>
    <row r="54" spans="4:4" ht="18.95" customHeight="1" x14ac:dyDescent="0.25">
      <c r="D54" s="12" t="str">
        <f>IFERROR(VLOOKUP(A54,'⚖️ Balance à importer'!A:D,4,FALSE) - VLOOKUP(A54,'⚖️ Balance à importer'!A:D,3,FALSE), "")</f>
        <v/>
      </c>
    </row>
    <row r="55" spans="4:4" ht="18.95" customHeight="1" x14ac:dyDescent="0.25">
      <c r="D55" s="12" t="str">
        <f>IFERROR(VLOOKUP(A55,'⚖️ Balance à importer'!A:D,4,FALSE) - VLOOKUP(A55,'⚖️ Balance à importer'!A:D,3,FALSE), "")</f>
        <v/>
      </c>
    </row>
    <row r="56" spans="4:4" ht="18.95" customHeight="1" x14ac:dyDescent="0.25">
      <c r="D56" s="12" t="str">
        <f>IFERROR(VLOOKUP(A56,'⚖️ Balance à importer'!A:D,4,FALSE) - VLOOKUP(A56,'⚖️ Balance à importer'!A:D,3,FALSE), "")</f>
        <v/>
      </c>
    </row>
    <row r="57" spans="4:4" ht="18.95" customHeight="1" x14ac:dyDescent="0.25">
      <c r="D57" s="12" t="str">
        <f>IFERROR(VLOOKUP(A57,'⚖️ Balance à importer'!A:D,4,FALSE) - VLOOKUP(A57,'⚖️ Balance à importer'!A:D,3,FALSE), "")</f>
        <v/>
      </c>
    </row>
    <row r="58" spans="4:4" ht="18.95" customHeight="1" x14ac:dyDescent="0.25">
      <c r="D58" s="12" t="str">
        <f>IFERROR(VLOOKUP(A58,'⚖️ Balance à importer'!A:D,4,FALSE) - VLOOKUP(A58,'⚖️ Balance à importer'!A:D,3,FALSE), "")</f>
        <v/>
      </c>
    </row>
    <row r="59" spans="4:4" ht="18.95" customHeight="1" x14ac:dyDescent="0.25">
      <c r="D59" s="12" t="str">
        <f>IFERROR(VLOOKUP(A59,'⚖️ Balance à importer'!A:D,4,FALSE) - VLOOKUP(A59,'⚖️ Balance à importer'!A:D,3,FALSE), "")</f>
        <v/>
      </c>
    </row>
    <row r="60" spans="4:4" ht="18.95" customHeight="1" x14ac:dyDescent="0.25">
      <c r="D60" s="12" t="str">
        <f>IFERROR(VLOOKUP(A60,'⚖️ Balance à importer'!A:D,4,FALSE) - VLOOKUP(A60,'⚖️ Balance à importer'!A:D,3,FALSE), "")</f>
        <v/>
      </c>
    </row>
    <row r="61" spans="4:4" ht="18.95" customHeight="1" x14ac:dyDescent="0.25">
      <c r="D61" s="12" t="str">
        <f>IFERROR(VLOOKUP(A61,'⚖️ Balance à importer'!A:D,4,FALSE) - VLOOKUP(A61,'⚖️ Balance à importer'!A:D,3,FALSE), "")</f>
        <v/>
      </c>
    </row>
    <row r="62" spans="4:4" ht="18.95" customHeight="1" x14ac:dyDescent="0.25">
      <c r="D62" s="12" t="str">
        <f>IFERROR(VLOOKUP(A62,'⚖️ Balance à importer'!A:D,4,FALSE) - VLOOKUP(A62,'⚖️ Balance à importer'!A:D,3,FALSE), "")</f>
        <v/>
      </c>
    </row>
    <row r="63" spans="4:4" ht="18.95" customHeight="1" x14ac:dyDescent="0.25">
      <c r="D63" s="12" t="str">
        <f>IFERROR(VLOOKUP(A63,'⚖️ Balance à importer'!A:D,4,FALSE) - VLOOKUP(A63,'⚖️ Balance à importer'!A:D,3,FALSE), "")</f>
        <v/>
      </c>
    </row>
    <row r="64" spans="4:4" ht="18.95" customHeight="1" x14ac:dyDescent="0.25">
      <c r="D64" s="12" t="str">
        <f>IFERROR(VLOOKUP(A64,'⚖️ Balance à importer'!A:D,4,FALSE) - VLOOKUP(A64,'⚖️ Balance à importer'!A:D,3,FALSE), "")</f>
        <v/>
      </c>
    </row>
    <row r="65" spans="4:4" ht="18.95" customHeight="1" x14ac:dyDescent="0.25">
      <c r="D65" s="12" t="str">
        <f>IFERROR(VLOOKUP(A65,'⚖️ Balance à importer'!A:D,4,FALSE) - VLOOKUP(A65,'⚖️ Balance à importer'!A:D,3,FALSE), "")</f>
        <v/>
      </c>
    </row>
    <row r="66" spans="4:4" ht="18.95" customHeight="1" x14ac:dyDescent="0.25">
      <c r="D66" s="12" t="str">
        <f>IFERROR(VLOOKUP(A66,'⚖️ Balance à importer'!A:D,4,FALSE) - VLOOKUP(A66,'⚖️ Balance à importer'!A:D,3,FALSE), "")</f>
        <v/>
      </c>
    </row>
    <row r="67" spans="4:4" ht="18.95" customHeight="1" x14ac:dyDescent="0.25">
      <c r="D67" s="12" t="str">
        <f>IFERROR(VLOOKUP(A67,'⚖️ Balance à importer'!A:D,4,FALSE) - VLOOKUP(A67,'⚖️ Balance à importer'!A:D,3,FALSE), "")</f>
        <v/>
      </c>
    </row>
    <row r="68" spans="4:4" ht="18.95" customHeight="1" x14ac:dyDescent="0.25">
      <c r="D68" s="12" t="str">
        <f>IFERROR(VLOOKUP(A68,'⚖️ Balance à importer'!A:D,4,FALSE) - VLOOKUP(A68,'⚖️ Balance à importer'!A:D,3,FALSE), "")</f>
        <v/>
      </c>
    </row>
    <row r="69" spans="4:4" ht="18.95" customHeight="1" x14ac:dyDescent="0.25">
      <c r="D69" s="12" t="str">
        <f>IFERROR(VLOOKUP(A69,'⚖️ Balance à importer'!A:D,4,FALSE) - VLOOKUP(A69,'⚖️ Balance à importer'!A:D,3,FALSE), "")</f>
        <v/>
      </c>
    </row>
    <row r="70" spans="4:4" ht="18.95" customHeight="1" x14ac:dyDescent="0.25">
      <c r="D70" s="12" t="str">
        <f>IFERROR(VLOOKUP(A70,'⚖️ Balance à importer'!A:D,4,FALSE) - VLOOKUP(A70,'⚖️ Balance à importer'!A:D,3,FALSE), "")</f>
        <v/>
      </c>
    </row>
    <row r="71" spans="4:4" ht="18.95" customHeight="1" x14ac:dyDescent="0.25">
      <c r="D71" s="12" t="str">
        <f>IFERROR(VLOOKUP(A71,'⚖️ Balance à importer'!A:D,4,FALSE) - VLOOKUP(A71,'⚖️ Balance à importer'!A:D,3,FALSE), "")</f>
        <v/>
      </c>
    </row>
    <row r="72" spans="4:4" ht="18.95" customHeight="1" x14ac:dyDescent="0.25">
      <c r="D72" s="12" t="str">
        <f>IFERROR(VLOOKUP(A72,'⚖️ Balance à importer'!A:D,4,FALSE) - VLOOKUP(A72,'⚖️ Balance à importer'!A:D,3,FALSE), "")</f>
        <v/>
      </c>
    </row>
    <row r="73" spans="4:4" ht="18.95" customHeight="1" x14ac:dyDescent="0.25">
      <c r="D73" s="12" t="str">
        <f>IFERROR(VLOOKUP(A73,'⚖️ Balance à importer'!A:D,4,FALSE) - VLOOKUP(A73,'⚖️ Balance à importer'!A:D,3,FALSE), "")</f>
        <v/>
      </c>
    </row>
    <row r="74" spans="4:4" ht="18.95" customHeight="1" x14ac:dyDescent="0.25">
      <c r="D74" s="12" t="str">
        <f>IFERROR(VLOOKUP(A74,'⚖️ Balance à importer'!A:D,4,FALSE) - VLOOKUP(A74,'⚖️ Balance à importer'!A:D,3,FALSE), "")</f>
        <v/>
      </c>
    </row>
    <row r="75" spans="4:4" ht="18.95" customHeight="1" x14ac:dyDescent="0.25">
      <c r="D75" s="12" t="str">
        <f>IFERROR(VLOOKUP(A75,'⚖️ Balance à importer'!A:D,4,FALSE) - VLOOKUP(A75,'⚖️ Balance à importer'!A:D,3,FALSE), "")</f>
        <v/>
      </c>
    </row>
    <row r="76" spans="4:4" ht="18.95" customHeight="1" x14ac:dyDescent="0.25">
      <c r="D76" s="12" t="str">
        <f>IFERROR(VLOOKUP(A76,'⚖️ Balance à importer'!A:D,4,FALSE) - VLOOKUP(A76,'⚖️ Balance à importer'!A:D,3,FALSE), "")</f>
        <v/>
      </c>
    </row>
    <row r="77" spans="4:4" ht="18.95" customHeight="1" x14ac:dyDescent="0.25">
      <c r="D77" s="12" t="str">
        <f>IFERROR(VLOOKUP(A77,'⚖️ Balance à importer'!A:D,4,FALSE) - VLOOKUP(A77,'⚖️ Balance à importer'!A:D,3,FALSE), "")</f>
        <v/>
      </c>
    </row>
    <row r="78" spans="4:4" ht="18.95" customHeight="1" x14ac:dyDescent="0.25">
      <c r="D78" s="12" t="str">
        <f>IFERROR(VLOOKUP(A78,'⚖️ Balance à importer'!A:D,4,FALSE) - VLOOKUP(A78,'⚖️ Balance à importer'!A:D,3,FALSE), "")</f>
        <v/>
      </c>
    </row>
    <row r="79" spans="4:4" ht="18.95" customHeight="1" x14ac:dyDescent="0.25">
      <c r="D79" s="12" t="str">
        <f>IFERROR(VLOOKUP(A79,'⚖️ Balance à importer'!A:D,4,FALSE) - VLOOKUP(A79,'⚖️ Balance à importer'!A:D,3,FALSE), "")</f>
        <v/>
      </c>
    </row>
    <row r="80" spans="4:4" ht="18.95" customHeight="1" x14ac:dyDescent="0.25">
      <c r="D80" s="12" t="str">
        <f>IFERROR(VLOOKUP(A80,'⚖️ Balance à importer'!A:D,4,FALSE) - VLOOKUP(A80,'⚖️ Balance à importer'!A:D,3,FALSE), "")</f>
        <v/>
      </c>
    </row>
    <row r="81" spans="4:4" ht="18.95" customHeight="1" x14ac:dyDescent="0.25">
      <c r="D81" s="12" t="str">
        <f>IFERROR(VLOOKUP(A81,'⚖️ Balance à importer'!A:D,4,FALSE) - VLOOKUP(A81,'⚖️ Balance à importer'!A:D,3,FALSE), "")</f>
        <v/>
      </c>
    </row>
    <row r="82" spans="4:4" ht="18.95" customHeight="1" x14ac:dyDescent="0.25">
      <c r="D82" s="12" t="str">
        <f>IFERROR(VLOOKUP(A82,'⚖️ Balance à importer'!A:D,4,FALSE) - VLOOKUP(A82,'⚖️ Balance à importer'!A:D,3,FALSE), "")</f>
        <v/>
      </c>
    </row>
    <row r="83" spans="4:4" ht="18.95" customHeight="1" x14ac:dyDescent="0.25">
      <c r="D83" s="12" t="str">
        <f>IFERROR(VLOOKUP(A83,'⚖️ Balance à importer'!A:D,4,FALSE) - VLOOKUP(A83,'⚖️ Balance à importer'!A:D,3,FALSE), "")</f>
        <v/>
      </c>
    </row>
    <row r="84" spans="4:4" ht="18.95" customHeight="1" x14ac:dyDescent="0.25">
      <c r="D84" s="12" t="str">
        <f>IFERROR(VLOOKUP(A84,'⚖️ Balance à importer'!A:D,4,FALSE) - VLOOKUP(A84,'⚖️ Balance à importer'!A:D,3,FALSE), "")</f>
        <v/>
      </c>
    </row>
    <row r="85" spans="4:4" ht="18.95" customHeight="1" x14ac:dyDescent="0.25">
      <c r="D85" s="12" t="str">
        <f>IFERROR(VLOOKUP(A85,'⚖️ Balance à importer'!A:D,4,FALSE) - VLOOKUP(A85,'⚖️ Balance à importer'!A:D,3,FALSE), "")</f>
        <v/>
      </c>
    </row>
    <row r="86" spans="4:4" ht="18.95" customHeight="1" x14ac:dyDescent="0.25">
      <c r="D86" s="12" t="str">
        <f>IFERROR(VLOOKUP(A86,'⚖️ Balance à importer'!A:D,4,FALSE) - VLOOKUP(A86,'⚖️ Balance à importer'!A:D,3,FALSE), "")</f>
        <v/>
      </c>
    </row>
    <row r="87" spans="4:4" ht="18.95" customHeight="1" x14ac:dyDescent="0.25">
      <c r="D87" s="12" t="str">
        <f>IFERROR(VLOOKUP(A87,'⚖️ Balance à importer'!A:D,4,FALSE) - VLOOKUP(A87,'⚖️ Balance à importer'!A:D,3,FALSE), "")</f>
        <v/>
      </c>
    </row>
    <row r="88" spans="4:4" ht="18.95" customHeight="1" x14ac:dyDescent="0.25">
      <c r="D88" s="12" t="str">
        <f>IFERROR(VLOOKUP(A88,'⚖️ Balance à importer'!A:D,4,FALSE) - VLOOKUP(A88,'⚖️ Balance à importer'!A:D,3,FALSE), "")</f>
        <v/>
      </c>
    </row>
    <row r="89" spans="4:4" ht="18.95" customHeight="1" x14ac:dyDescent="0.25">
      <c r="D89" s="12" t="str">
        <f>IFERROR(VLOOKUP(A89,'⚖️ Balance à importer'!A:D,4,FALSE) - VLOOKUP(A89,'⚖️ Balance à importer'!A:D,3,FALSE), "")</f>
        <v/>
      </c>
    </row>
    <row r="90" spans="4:4" ht="18.95" customHeight="1" x14ac:dyDescent="0.25">
      <c r="D90" s="12" t="str">
        <f>IFERROR(VLOOKUP(A90,'⚖️ Balance à importer'!A:D,4,FALSE) - VLOOKUP(A90,'⚖️ Balance à importer'!A:D,3,FALSE), "")</f>
        <v/>
      </c>
    </row>
    <row r="91" spans="4:4" ht="18.95" customHeight="1" x14ac:dyDescent="0.25">
      <c r="D91" s="12" t="str">
        <f>IFERROR(VLOOKUP(A91,'⚖️ Balance à importer'!A:D,4,FALSE) - VLOOKUP(A91,'⚖️ Balance à importer'!A:D,3,FALSE), "")</f>
        <v/>
      </c>
    </row>
    <row r="92" spans="4:4" ht="18.95" customHeight="1" x14ac:dyDescent="0.25">
      <c r="D92" s="12" t="str">
        <f>IFERROR(VLOOKUP(A92,'⚖️ Balance à importer'!A:D,4,FALSE) - VLOOKUP(A92,'⚖️ Balance à importer'!A:D,3,FALSE), "")</f>
        <v/>
      </c>
    </row>
    <row r="93" spans="4:4" ht="18.95" customHeight="1" x14ac:dyDescent="0.25">
      <c r="D93" s="12" t="str">
        <f>IFERROR(VLOOKUP(A93,'⚖️ Balance à importer'!A:D,4,FALSE) - VLOOKUP(A93,'⚖️ Balance à importer'!A:D,3,FALSE), "")</f>
        <v/>
      </c>
    </row>
    <row r="94" spans="4:4" ht="18.95" customHeight="1" x14ac:dyDescent="0.25">
      <c r="D94" s="12" t="str">
        <f>IFERROR(VLOOKUP(A94,'⚖️ Balance à importer'!A:D,4,FALSE) - VLOOKUP(A94,'⚖️ Balance à importer'!A:D,3,FALSE), "")</f>
        <v/>
      </c>
    </row>
    <row r="95" spans="4:4" ht="18.95" customHeight="1" x14ac:dyDescent="0.25">
      <c r="D95" s="12" t="str">
        <f>IFERROR(VLOOKUP(A95,'⚖️ Balance à importer'!A:D,4,FALSE) - VLOOKUP(A95,'⚖️ Balance à importer'!A:D,3,FALSE), "")</f>
        <v/>
      </c>
    </row>
    <row r="96" spans="4:4" ht="18.95" customHeight="1" x14ac:dyDescent="0.25">
      <c r="D96" s="12" t="str">
        <f>IFERROR(VLOOKUP(A96,'⚖️ Balance à importer'!A:D,4,FALSE) - VLOOKUP(A96,'⚖️ Balance à importer'!A:D,3,FALSE), "")</f>
        <v/>
      </c>
    </row>
    <row r="97" spans="4:4" ht="18.95" customHeight="1" x14ac:dyDescent="0.25">
      <c r="D97" s="12" t="str">
        <f>IFERROR(VLOOKUP(A97,'⚖️ Balance à importer'!A:D,4,FALSE) - VLOOKUP(A97,'⚖️ Balance à importer'!A:D,3,FALSE), "")</f>
        <v/>
      </c>
    </row>
    <row r="98" spans="4:4" ht="18.95" customHeight="1" x14ac:dyDescent="0.25">
      <c r="D98" s="12" t="str">
        <f>IFERROR(VLOOKUP(A98,'⚖️ Balance à importer'!A:D,4,FALSE) - VLOOKUP(A98,'⚖️ Balance à importer'!A:D,3,FALSE), "")</f>
        <v/>
      </c>
    </row>
    <row r="99" spans="4:4" ht="18.95" customHeight="1" x14ac:dyDescent="0.25">
      <c r="D99" s="12" t="str">
        <f>IFERROR(VLOOKUP(A99,'⚖️ Balance à importer'!A:D,4,FALSE) - VLOOKUP(A99,'⚖️ Balance à importer'!A:D,3,FALSE), "")</f>
        <v/>
      </c>
    </row>
    <row r="100" spans="4:4" ht="18.95" customHeight="1" x14ac:dyDescent="0.25">
      <c r="D100" s="12" t="str">
        <f>IFERROR(VLOOKUP(A100,'⚖️ Balance à importer'!A:D,4,FALSE) - VLOOKUP(A100,'⚖️ Balance à importer'!A:D,3,FALSE), "")</f>
        <v/>
      </c>
    </row>
    <row r="101" spans="4:4" ht="18.95" customHeight="1" x14ac:dyDescent="0.25">
      <c r="D101" s="12" t="str">
        <f>IFERROR(VLOOKUP(A101,'⚖️ Balance à importer'!A:D,4,FALSE) - VLOOKUP(A101,'⚖️ Balance à importer'!A:D,3,FALSE), "")</f>
        <v/>
      </c>
    </row>
    <row r="102" spans="4:4" ht="18.95" customHeight="1" x14ac:dyDescent="0.25">
      <c r="D102" s="12" t="str">
        <f>IFERROR(VLOOKUP(A102,'⚖️ Balance à importer'!A:D,4,FALSE) - VLOOKUP(A102,'⚖️ Balance à importer'!A:D,3,FALSE), "")</f>
        <v/>
      </c>
    </row>
    <row r="103" spans="4:4" ht="18.95" customHeight="1" x14ac:dyDescent="0.25">
      <c r="D103" s="12" t="str">
        <f>IFERROR(VLOOKUP(A103,'⚖️ Balance à importer'!A:D,4,FALSE) - VLOOKUP(A103,'⚖️ Balance à importer'!A:D,3,FALSE), "")</f>
        <v/>
      </c>
    </row>
    <row r="104" spans="4:4" ht="18.95" customHeight="1" x14ac:dyDescent="0.25">
      <c r="D104" s="12" t="str">
        <f>IFERROR(VLOOKUP(A104,'⚖️ Balance à importer'!A:D,4,FALSE) - VLOOKUP(A104,'⚖️ Balance à importer'!A:D,3,FALSE), "")</f>
        <v/>
      </c>
    </row>
    <row r="105" spans="4:4" ht="18.95" customHeight="1" x14ac:dyDescent="0.25">
      <c r="D105" s="12" t="str">
        <f>IFERROR(VLOOKUP(A105,'⚖️ Balance à importer'!A:D,4,FALSE) - VLOOKUP(A105,'⚖️ Balance à importer'!A:D,3,FALSE), "")</f>
        <v/>
      </c>
    </row>
    <row r="106" spans="4:4" ht="18.95" customHeight="1" x14ac:dyDescent="0.25">
      <c r="D106" s="12" t="str">
        <f>IFERROR(VLOOKUP(A106,'⚖️ Balance à importer'!A:D,4,FALSE) - VLOOKUP(A106,'⚖️ Balance à importer'!A:D,3,FALSE), "")</f>
        <v/>
      </c>
    </row>
    <row r="107" spans="4:4" ht="18.95" customHeight="1" x14ac:dyDescent="0.25">
      <c r="D107" s="12" t="str">
        <f>IFERROR(VLOOKUP(A107,'⚖️ Balance à importer'!A:D,4,FALSE) - VLOOKUP(A107,'⚖️ Balance à importer'!A:D,3,FALSE), "")</f>
        <v/>
      </c>
    </row>
    <row r="108" spans="4:4" ht="18.95" customHeight="1" x14ac:dyDescent="0.25">
      <c r="D108" s="12" t="str">
        <f>IFERROR(VLOOKUP(A108,'⚖️ Balance à importer'!A:D,4,FALSE) - VLOOKUP(A108,'⚖️ Balance à importer'!A:D,3,FALSE), "")</f>
        <v/>
      </c>
    </row>
    <row r="109" spans="4:4" ht="18.95" customHeight="1" x14ac:dyDescent="0.25">
      <c r="D109" s="12" t="str">
        <f>IFERROR(VLOOKUP(A109,'⚖️ Balance à importer'!A:D,4,FALSE) - VLOOKUP(A109,'⚖️ Balance à importer'!A:D,3,FALSE), "")</f>
        <v/>
      </c>
    </row>
    <row r="110" spans="4:4" ht="18.95" customHeight="1" x14ac:dyDescent="0.25">
      <c r="D110" s="12" t="str">
        <f>IFERROR(VLOOKUP(A110,'⚖️ Balance à importer'!A:D,4,FALSE) - VLOOKUP(A110,'⚖️ Balance à importer'!A:D,3,FALSE), "")</f>
        <v/>
      </c>
    </row>
    <row r="111" spans="4:4" ht="18.95" customHeight="1" x14ac:dyDescent="0.25">
      <c r="D111" s="12" t="str">
        <f>IFERROR(VLOOKUP(A111,'⚖️ Balance à importer'!A:D,4,FALSE) - VLOOKUP(A111,'⚖️ Balance à importer'!A:D,3,FALSE), "")</f>
        <v/>
      </c>
    </row>
    <row r="112" spans="4:4" ht="18.95" customHeight="1" x14ac:dyDescent="0.25">
      <c r="D112" s="12" t="str">
        <f>IFERROR(VLOOKUP(A112,'⚖️ Balance à importer'!A:D,4,FALSE) - VLOOKUP(A112,'⚖️ Balance à importer'!A:D,3,FALSE), "")</f>
        <v/>
      </c>
    </row>
    <row r="113" spans="4:4" ht="18.95" customHeight="1" x14ac:dyDescent="0.25">
      <c r="D113" s="12" t="str">
        <f>IFERROR(VLOOKUP(A113,'⚖️ Balance à importer'!A:D,4,FALSE) - VLOOKUP(A113,'⚖️ Balance à importer'!A:D,3,FALSE), "")</f>
        <v/>
      </c>
    </row>
    <row r="114" spans="4:4" ht="18.95" customHeight="1" x14ac:dyDescent="0.25">
      <c r="D114" s="12" t="str">
        <f>IFERROR(VLOOKUP(A114,'⚖️ Balance à importer'!A:D,4,FALSE) - VLOOKUP(A114,'⚖️ Balance à importer'!A:D,3,FALSE), "")</f>
        <v/>
      </c>
    </row>
    <row r="115" spans="4:4" ht="18.95" customHeight="1" x14ac:dyDescent="0.25">
      <c r="D115" s="12" t="str">
        <f>IFERROR(VLOOKUP(A115,'⚖️ Balance à importer'!A:D,4,FALSE) - VLOOKUP(A115,'⚖️ Balance à importer'!A:D,3,FALSE), "")</f>
        <v/>
      </c>
    </row>
    <row r="116" spans="4:4" ht="18.95" customHeight="1" x14ac:dyDescent="0.25">
      <c r="D116" s="12" t="str">
        <f>IFERROR(VLOOKUP(A116,'⚖️ Balance à importer'!A:D,4,FALSE) - VLOOKUP(A116,'⚖️ Balance à importer'!A:D,3,FALSE), "")</f>
        <v/>
      </c>
    </row>
    <row r="117" spans="4:4" ht="18.95" customHeight="1" x14ac:dyDescent="0.25">
      <c r="D117" s="12" t="str">
        <f>IFERROR(VLOOKUP(A117,'⚖️ Balance à importer'!A:D,4,FALSE) - VLOOKUP(A117,'⚖️ Balance à importer'!A:D,3,FALSE), "")</f>
        <v/>
      </c>
    </row>
    <row r="118" spans="4:4" ht="18.95" customHeight="1" x14ac:dyDescent="0.25">
      <c r="D118" s="12" t="str">
        <f>IFERROR(VLOOKUP(A118,'⚖️ Balance à importer'!A:D,4,FALSE) - VLOOKUP(A118,'⚖️ Balance à importer'!A:D,3,FALSE), "")</f>
        <v/>
      </c>
    </row>
    <row r="119" spans="4:4" ht="18.95" customHeight="1" x14ac:dyDescent="0.25">
      <c r="D119" s="12" t="str">
        <f>IFERROR(VLOOKUP(A119,'⚖️ Balance à importer'!A:D,4,FALSE) - VLOOKUP(A119,'⚖️ Balance à importer'!A:D,3,FALSE), "")</f>
        <v/>
      </c>
    </row>
    <row r="120" spans="4:4" ht="18.95" customHeight="1" x14ac:dyDescent="0.25">
      <c r="D120" s="12" t="str">
        <f>IFERROR(VLOOKUP(A120,'⚖️ Balance à importer'!A:D,4,FALSE) - VLOOKUP(A120,'⚖️ Balance à importer'!A:D,3,FALSE), "")</f>
        <v/>
      </c>
    </row>
    <row r="121" spans="4:4" ht="18.95" customHeight="1" x14ac:dyDescent="0.25">
      <c r="D121" s="12" t="str">
        <f>IFERROR(VLOOKUP(A121,'⚖️ Balance à importer'!A:D,4,FALSE) - VLOOKUP(A121,'⚖️ Balance à importer'!A:D,3,FALSE), "")</f>
        <v/>
      </c>
    </row>
    <row r="122" spans="4:4" ht="18.95" customHeight="1" x14ac:dyDescent="0.25">
      <c r="D122" s="12" t="str">
        <f>IFERROR(VLOOKUP(A122,'⚖️ Balance à importer'!A:D,4,FALSE) - VLOOKUP(A122,'⚖️ Balance à importer'!A:D,3,FALSE), "")</f>
        <v/>
      </c>
    </row>
    <row r="123" spans="4:4" ht="18.95" customHeight="1" x14ac:dyDescent="0.25">
      <c r="D123" s="12" t="str">
        <f>IFERROR(VLOOKUP(A123,'⚖️ Balance à importer'!A:D,4,FALSE) - VLOOKUP(A123,'⚖️ Balance à importer'!A:D,3,FALSE), "")</f>
        <v/>
      </c>
    </row>
    <row r="124" spans="4:4" ht="18.95" customHeight="1" x14ac:dyDescent="0.25">
      <c r="D124" s="12" t="str">
        <f>IFERROR(VLOOKUP(A124,'⚖️ Balance à importer'!A:D,4,FALSE) - VLOOKUP(A124,'⚖️ Balance à importer'!A:D,3,FALSE), "")</f>
        <v/>
      </c>
    </row>
    <row r="125" spans="4:4" ht="18.95" customHeight="1" x14ac:dyDescent="0.25">
      <c r="D125" s="12" t="str">
        <f>IFERROR(VLOOKUP(A125,'⚖️ Balance à importer'!A:D,4,FALSE) - VLOOKUP(A125,'⚖️ Balance à importer'!A:D,3,FALSE), "")</f>
        <v/>
      </c>
    </row>
    <row r="126" spans="4:4" ht="18.95" customHeight="1" x14ac:dyDescent="0.25">
      <c r="D126" s="12" t="str">
        <f>IFERROR(VLOOKUP(A126,'⚖️ Balance à importer'!A:D,4,FALSE) - VLOOKUP(A126,'⚖️ Balance à importer'!A:D,3,FALSE), "")</f>
        <v/>
      </c>
    </row>
    <row r="127" spans="4:4" ht="18.95" customHeight="1" x14ac:dyDescent="0.25">
      <c r="D127" s="12" t="str">
        <f>IFERROR(VLOOKUP(A127,'⚖️ Balance à importer'!A:D,4,FALSE) - VLOOKUP(A127,'⚖️ Balance à importer'!A:D,3,FALSE), "")</f>
        <v/>
      </c>
    </row>
    <row r="128" spans="4:4" ht="18.95" customHeight="1" x14ac:dyDescent="0.25">
      <c r="D128" s="12" t="str">
        <f>IFERROR(VLOOKUP(A128,'⚖️ Balance à importer'!A:D,4,FALSE) - VLOOKUP(A128,'⚖️ Balance à importer'!A:D,3,FALSE), "")</f>
        <v/>
      </c>
    </row>
    <row r="129" spans="4:4" ht="18.95" customHeight="1" x14ac:dyDescent="0.25">
      <c r="D129" s="12" t="str">
        <f>IFERROR(VLOOKUP(A129,'⚖️ Balance à importer'!A:D,4,FALSE) - VLOOKUP(A129,'⚖️ Balance à importer'!A:D,3,FALSE), "")</f>
        <v/>
      </c>
    </row>
    <row r="130" spans="4:4" ht="18.95" customHeight="1" x14ac:dyDescent="0.25">
      <c r="D130" s="12" t="str">
        <f>IFERROR(VLOOKUP(A130,'⚖️ Balance à importer'!A:D,4,FALSE) - VLOOKUP(A130,'⚖️ Balance à importer'!A:D,3,FALSE), "")</f>
        <v/>
      </c>
    </row>
    <row r="131" spans="4:4" ht="18.95" customHeight="1" x14ac:dyDescent="0.25">
      <c r="D131" s="12" t="str">
        <f>IFERROR(VLOOKUP(A131,'⚖️ Balance à importer'!A:D,4,FALSE) - VLOOKUP(A131,'⚖️ Balance à importer'!A:D,3,FALSE), "")</f>
        <v/>
      </c>
    </row>
    <row r="132" spans="4:4" ht="18.95" customHeight="1" x14ac:dyDescent="0.25">
      <c r="D132" s="12" t="str">
        <f>IFERROR(VLOOKUP(A132,'⚖️ Balance à importer'!A:D,4,FALSE) - VLOOKUP(A132,'⚖️ Balance à importer'!A:D,3,FALSE), "")</f>
        <v/>
      </c>
    </row>
    <row r="133" spans="4:4" ht="18.95" customHeight="1" x14ac:dyDescent="0.25">
      <c r="D133" s="12" t="str">
        <f>IFERROR(VLOOKUP(A133,'⚖️ Balance à importer'!A:D,4,FALSE) - VLOOKUP(A133,'⚖️ Balance à importer'!A:D,3,FALSE), "")</f>
        <v/>
      </c>
    </row>
    <row r="134" spans="4:4" ht="18.95" customHeight="1" x14ac:dyDescent="0.25">
      <c r="D134" s="12" t="str">
        <f>IFERROR(VLOOKUP(A134,'⚖️ Balance à importer'!A:D,4,FALSE) - VLOOKUP(A134,'⚖️ Balance à importer'!A:D,3,FALSE), "")</f>
        <v/>
      </c>
    </row>
    <row r="135" spans="4:4" ht="18.95" customHeight="1" x14ac:dyDescent="0.25">
      <c r="D135" s="12" t="str">
        <f>IFERROR(VLOOKUP(A135,'⚖️ Balance à importer'!A:D,4,FALSE) - VLOOKUP(A135,'⚖️ Balance à importer'!A:D,3,FALSE), "")</f>
        <v/>
      </c>
    </row>
    <row r="136" spans="4:4" ht="18.95" customHeight="1" x14ac:dyDescent="0.25">
      <c r="D136" s="12" t="str">
        <f>IFERROR(VLOOKUP(A136,'⚖️ Balance à importer'!A:D,4,FALSE) - VLOOKUP(A136,'⚖️ Balance à importer'!A:D,3,FALSE), "")</f>
        <v/>
      </c>
    </row>
    <row r="137" spans="4:4" ht="18.95" customHeight="1" x14ac:dyDescent="0.25">
      <c r="D137" s="12" t="str">
        <f>IFERROR(VLOOKUP(A137,'⚖️ Balance à importer'!A:D,4,FALSE) - VLOOKUP(A137,'⚖️ Balance à importer'!A:D,3,FALSE), "")</f>
        <v/>
      </c>
    </row>
    <row r="138" spans="4:4" ht="18.95" customHeight="1" x14ac:dyDescent="0.25">
      <c r="D138" s="12" t="str">
        <f>IFERROR(VLOOKUP(A138,'⚖️ Balance à importer'!A:D,4,FALSE) - VLOOKUP(A138,'⚖️ Balance à importer'!A:D,3,FALSE), "")</f>
        <v/>
      </c>
    </row>
    <row r="139" spans="4:4" ht="18.95" customHeight="1" x14ac:dyDescent="0.25">
      <c r="D139" s="12" t="str">
        <f>IFERROR(VLOOKUP(A139,'⚖️ Balance à importer'!A:D,4,FALSE) - VLOOKUP(A139,'⚖️ Balance à importer'!A:D,3,FALSE), "")</f>
        <v/>
      </c>
    </row>
    <row r="140" spans="4:4" ht="18.95" customHeight="1" x14ac:dyDescent="0.25">
      <c r="D140" s="12" t="str">
        <f>IFERROR(VLOOKUP(A140,'⚖️ Balance à importer'!A:D,4,FALSE) - VLOOKUP(A140,'⚖️ Balance à importer'!A:D,3,FALSE), "")</f>
        <v/>
      </c>
    </row>
    <row r="141" spans="4:4" ht="18.95" customHeight="1" x14ac:dyDescent="0.25">
      <c r="D141" s="12" t="str">
        <f>IFERROR(VLOOKUP(A141,'⚖️ Balance à importer'!A:D,4,FALSE) - VLOOKUP(A141,'⚖️ Balance à importer'!A:D,3,FALSE), "")</f>
        <v/>
      </c>
    </row>
    <row r="142" spans="4:4" ht="18.95" customHeight="1" x14ac:dyDescent="0.25">
      <c r="D142" s="12" t="str">
        <f>IFERROR(VLOOKUP(A142,'⚖️ Balance à importer'!A:D,4,FALSE) - VLOOKUP(A142,'⚖️ Balance à importer'!A:D,3,FALSE), "")</f>
        <v/>
      </c>
    </row>
    <row r="143" spans="4:4" ht="18.95" customHeight="1" x14ac:dyDescent="0.25">
      <c r="D143" s="12" t="str">
        <f>IFERROR(VLOOKUP(A143,'⚖️ Balance à importer'!A:D,4,FALSE) - VLOOKUP(A143,'⚖️ Balance à importer'!A:D,3,FALSE), "")</f>
        <v/>
      </c>
    </row>
    <row r="144" spans="4:4" ht="18.95" customHeight="1" x14ac:dyDescent="0.25">
      <c r="D144" s="12" t="str">
        <f>IFERROR(VLOOKUP(A144,'⚖️ Balance à importer'!A:D,4,FALSE) - VLOOKUP(A144,'⚖️ Balance à importer'!A:D,3,FALSE), "")</f>
        <v/>
      </c>
    </row>
    <row r="145" spans="4:4" ht="18.95" customHeight="1" x14ac:dyDescent="0.25">
      <c r="D145" s="12" t="str">
        <f>IFERROR(VLOOKUP(A145,'⚖️ Balance à importer'!A:D,4,FALSE) - VLOOKUP(A145,'⚖️ Balance à importer'!A:D,3,FALSE), "")</f>
        <v/>
      </c>
    </row>
    <row r="146" spans="4:4" ht="18.95" customHeight="1" x14ac:dyDescent="0.25">
      <c r="D146" s="12" t="str">
        <f>IFERROR(VLOOKUP(A146,'⚖️ Balance à importer'!A:D,4,FALSE) - VLOOKUP(A146,'⚖️ Balance à importer'!A:D,3,FALSE), "")</f>
        <v/>
      </c>
    </row>
    <row r="147" spans="4:4" ht="18.95" customHeight="1" x14ac:dyDescent="0.25">
      <c r="D147" s="12" t="str">
        <f>IFERROR(VLOOKUP(A147,'⚖️ Balance à importer'!A:D,4,FALSE) - VLOOKUP(A147,'⚖️ Balance à importer'!A:D,3,FALSE), "")</f>
        <v/>
      </c>
    </row>
    <row r="148" spans="4:4" ht="18.95" customHeight="1" x14ac:dyDescent="0.25">
      <c r="D148" s="12" t="str">
        <f>IFERROR(VLOOKUP(A148,'⚖️ Balance à importer'!A:D,4,FALSE) - VLOOKUP(A148,'⚖️ Balance à importer'!A:D,3,FALSE), "")</f>
        <v/>
      </c>
    </row>
    <row r="149" spans="4:4" ht="18.95" customHeight="1" x14ac:dyDescent="0.25">
      <c r="D149" s="12" t="str">
        <f>IFERROR(VLOOKUP(A149,'⚖️ Balance à importer'!A:D,4,FALSE) - VLOOKUP(A149,'⚖️ Balance à importer'!A:D,3,FALSE), "")</f>
        <v/>
      </c>
    </row>
    <row r="150" spans="4:4" ht="18.95" customHeight="1" x14ac:dyDescent="0.25">
      <c r="D150" s="12" t="str">
        <f>IFERROR(VLOOKUP(A150,'⚖️ Balance à importer'!A:D,4,FALSE) - VLOOKUP(A150,'⚖️ Balance à importer'!A:D,3,FALSE), "")</f>
        <v/>
      </c>
    </row>
    <row r="151" spans="4:4" ht="18.95" customHeight="1" x14ac:dyDescent="0.25">
      <c r="D151" s="12" t="str">
        <f>IFERROR(VLOOKUP(A151,'⚖️ Balance à importer'!A:D,4,FALSE) - VLOOKUP(A151,'⚖️ Balance à importer'!A:D,3,FALSE), "")</f>
        <v/>
      </c>
    </row>
    <row r="152" spans="4:4" ht="18.95" customHeight="1" x14ac:dyDescent="0.25">
      <c r="D152" s="12" t="str">
        <f>IFERROR(VLOOKUP(A152,'⚖️ Balance à importer'!A:D,4,FALSE) - VLOOKUP(A152,'⚖️ Balance à importer'!A:D,3,FALSE), "")</f>
        <v/>
      </c>
    </row>
    <row r="153" spans="4:4" ht="18.95" customHeight="1" x14ac:dyDescent="0.25">
      <c r="D153" s="12" t="str">
        <f>IFERROR(VLOOKUP(A153,'⚖️ Balance à importer'!A:D,4,FALSE) - VLOOKUP(A153,'⚖️ Balance à importer'!A:D,3,FALSE), "")</f>
        <v/>
      </c>
    </row>
    <row r="154" spans="4:4" ht="18.95" customHeight="1" x14ac:dyDescent="0.25">
      <c r="D154" s="12" t="str">
        <f>IFERROR(VLOOKUP(A154,'⚖️ Balance à importer'!A:D,4,FALSE) - VLOOKUP(A154,'⚖️ Balance à importer'!A:D,3,FALSE), "")</f>
        <v/>
      </c>
    </row>
    <row r="155" spans="4:4" ht="18.95" customHeight="1" x14ac:dyDescent="0.25">
      <c r="D155" s="12" t="str">
        <f>IFERROR(VLOOKUP(A155,'⚖️ Balance à importer'!A:D,4,FALSE) - VLOOKUP(A155,'⚖️ Balance à importer'!A:D,3,FALSE), "")</f>
        <v/>
      </c>
    </row>
    <row r="156" spans="4:4" ht="18.95" customHeight="1" x14ac:dyDescent="0.25">
      <c r="D156" s="12" t="str">
        <f>IFERROR(VLOOKUP(A156,'⚖️ Balance à importer'!A:D,4,FALSE) - VLOOKUP(A156,'⚖️ Balance à importer'!A:D,3,FALSE), "")</f>
        <v/>
      </c>
    </row>
    <row r="157" spans="4:4" ht="18.95" customHeight="1" x14ac:dyDescent="0.25">
      <c r="D157" s="12" t="str">
        <f>IFERROR(VLOOKUP(A157,'⚖️ Balance à importer'!A:D,4,FALSE) - VLOOKUP(A157,'⚖️ Balance à importer'!A:D,3,FALSE), "")</f>
        <v/>
      </c>
    </row>
    <row r="158" spans="4:4" ht="18.95" customHeight="1" x14ac:dyDescent="0.25">
      <c r="D158" s="12" t="str">
        <f>IFERROR(VLOOKUP(A158,'⚖️ Balance à importer'!A:D,4,FALSE) - VLOOKUP(A158,'⚖️ Balance à importer'!A:D,3,FALSE), "")</f>
        <v/>
      </c>
    </row>
    <row r="159" spans="4:4" ht="18.95" customHeight="1" x14ac:dyDescent="0.25">
      <c r="D159" s="12" t="str">
        <f>IFERROR(VLOOKUP(A159,'⚖️ Balance à importer'!A:D,4,FALSE) - VLOOKUP(A159,'⚖️ Balance à importer'!A:D,3,FALSE), "")</f>
        <v/>
      </c>
    </row>
    <row r="160" spans="4:4" ht="18.95" customHeight="1" x14ac:dyDescent="0.25">
      <c r="D160" s="12" t="str">
        <f>IFERROR(VLOOKUP(A160,'⚖️ Balance à importer'!A:D,4,FALSE) - VLOOKUP(A160,'⚖️ Balance à importer'!A:D,3,FALSE), "")</f>
        <v/>
      </c>
    </row>
    <row r="161" spans="4:4" ht="18.95" customHeight="1" x14ac:dyDescent="0.25">
      <c r="D161" s="12" t="str">
        <f>IFERROR(VLOOKUP(A161,'⚖️ Balance à importer'!A:D,4,FALSE) - VLOOKUP(A161,'⚖️ Balance à importer'!A:D,3,FALSE), "")</f>
        <v/>
      </c>
    </row>
    <row r="162" spans="4:4" ht="18.95" customHeight="1" x14ac:dyDescent="0.25">
      <c r="D162" s="12" t="str">
        <f>IFERROR(VLOOKUP(A162,'⚖️ Balance à importer'!A:D,4,FALSE) - VLOOKUP(A162,'⚖️ Balance à importer'!A:D,3,FALSE), "")</f>
        <v/>
      </c>
    </row>
    <row r="163" spans="4:4" ht="18.95" customHeight="1" x14ac:dyDescent="0.25">
      <c r="D163" s="12" t="str">
        <f>IFERROR(VLOOKUP(A163,'⚖️ Balance à importer'!A:D,4,FALSE) - VLOOKUP(A163,'⚖️ Balance à importer'!A:D,3,FALSE), "")</f>
        <v/>
      </c>
    </row>
    <row r="164" spans="4:4" ht="18.95" customHeight="1" x14ac:dyDescent="0.25">
      <c r="D164" s="12" t="str">
        <f>IFERROR(VLOOKUP(A164,'⚖️ Balance à importer'!A:D,4,FALSE) - VLOOKUP(A164,'⚖️ Balance à importer'!A:D,3,FALSE), "")</f>
        <v/>
      </c>
    </row>
    <row r="165" spans="4:4" ht="18.95" customHeight="1" x14ac:dyDescent="0.25">
      <c r="D165" s="12" t="str">
        <f>IFERROR(VLOOKUP(A165,'⚖️ Balance à importer'!A:D,4,FALSE) - VLOOKUP(A165,'⚖️ Balance à importer'!A:D,3,FALSE), "")</f>
        <v/>
      </c>
    </row>
    <row r="166" spans="4:4" ht="18.95" customHeight="1" x14ac:dyDescent="0.25">
      <c r="D166" s="12" t="str">
        <f>IFERROR(VLOOKUP(A166,'⚖️ Balance à importer'!A:D,4,FALSE) - VLOOKUP(A166,'⚖️ Balance à importer'!A:D,3,FALSE), "")</f>
        <v/>
      </c>
    </row>
    <row r="167" spans="4:4" ht="18.95" customHeight="1" x14ac:dyDescent="0.25">
      <c r="D167" s="12" t="str">
        <f>IFERROR(VLOOKUP(A167,'⚖️ Balance à importer'!A:D,4,FALSE) - VLOOKUP(A167,'⚖️ Balance à importer'!A:D,3,FALSE), "")</f>
        <v/>
      </c>
    </row>
    <row r="168" spans="4:4" ht="18.95" customHeight="1" x14ac:dyDescent="0.25">
      <c r="D168" s="12" t="str">
        <f>IFERROR(VLOOKUP(A168,'⚖️ Balance à importer'!A:D,4,FALSE) - VLOOKUP(A168,'⚖️ Balance à importer'!A:D,3,FALSE), "")</f>
        <v/>
      </c>
    </row>
    <row r="169" spans="4:4" ht="18.95" customHeight="1" x14ac:dyDescent="0.25">
      <c r="D169" s="12" t="str">
        <f>IFERROR(VLOOKUP(A169,'⚖️ Balance à importer'!A:D,4,FALSE) - VLOOKUP(A169,'⚖️ Balance à importer'!A:D,3,FALSE), "")</f>
        <v/>
      </c>
    </row>
    <row r="170" spans="4:4" ht="18.95" customHeight="1" x14ac:dyDescent="0.25">
      <c r="D170" s="12" t="str">
        <f>IFERROR(VLOOKUP(A170,'⚖️ Balance à importer'!A:D,4,FALSE) - VLOOKUP(A170,'⚖️ Balance à importer'!A:D,3,FALSE), "")</f>
        <v/>
      </c>
    </row>
    <row r="171" spans="4:4" ht="18.95" customHeight="1" x14ac:dyDescent="0.25">
      <c r="D171" s="12" t="str">
        <f>IFERROR(VLOOKUP(A171,'⚖️ Balance à importer'!A:D,4,FALSE) - VLOOKUP(A171,'⚖️ Balance à importer'!A:D,3,FALSE), "")</f>
        <v/>
      </c>
    </row>
    <row r="172" spans="4:4" ht="18.95" customHeight="1" x14ac:dyDescent="0.25">
      <c r="D172" s="12" t="str">
        <f>IFERROR(VLOOKUP(A172,'⚖️ Balance à importer'!A:D,4,FALSE) - VLOOKUP(A172,'⚖️ Balance à importer'!A:D,3,FALSE), "")</f>
        <v/>
      </c>
    </row>
    <row r="173" spans="4:4" ht="18.95" customHeight="1" x14ac:dyDescent="0.25">
      <c r="D173" s="12" t="str">
        <f>IFERROR(VLOOKUP(A173,'⚖️ Balance à importer'!A:D,4,FALSE) - VLOOKUP(A173,'⚖️ Balance à importer'!A:D,3,FALSE), "")</f>
        <v/>
      </c>
    </row>
    <row r="174" spans="4:4" ht="18.95" customHeight="1" x14ac:dyDescent="0.25">
      <c r="D174" s="12" t="str">
        <f>IFERROR(VLOOKUP(A174,'⚖️ Balance à importer'!A:D,4,FALSE) - VLOOKUP(A174,'⚖️ Balance à importer'!A:D,3,FALSE), "")</f>
        <v/>
      </c>
    </row>
    <row r="175" spans="4:4" ht="18.95" customHeight="1" x14ac:dyDescent="0.25">
      <c r="D175" s="12" t="str">
        <f>IFERROR(VLOOKUP(A175,'⚖️ Balance à importer'!A:D,4,FALSE) - VLOOKUP(A175,'⚖️ Balance à importer'!A:D,3,FALSE), "")</f>
        <v/>
      </c>
    </row>
    <row r="176" spans="4:4" ht="18.95" customHeight="1" x14ac:dyDescent="0.25">
      <c r="D176" s="12" t="str">
        <f>IFERROR(VLOOKUP(A176,'⚖️ Balance à importer'!A:D,4,FALSE) - VLOOKUP(A176,'⚖️ Balance à importer'!A:D,3,FALSE), "")</f>
        <v/>
      </c>
    </row>
    <row r="177" spans="4:4" ht="18.95" customHeight="1" x14ac:dyDescent="0.25">
      <c r="D177" s="12" t="str">
        <f>IFERROR(VLOOKUP(A177,'⚖️ Balance à importer'!A:D,4,FALSE) - VLOOKUP(A177,'⚖️ Balance à importer'!A:D,3,FALSE), "")</f>
        <v/>
      </c>
    </row>
    <row r="178" spans="4:4" ht="18.95" customHeight="1" x14ac:dyDescent="0.25">
      <c r="D178" s="12" t="str">
        <f>IFERROR(VLOOKUP(A178,'⚖️ Balance à importer'!A:D,4,FALSE) - VLOOKUP(A178,'⚖️ Balance à importer'!A:D,3,FALSE), "")</f>
        <v/>
      </c>
    </row>
    <row r="179" spans="4:4" ht="18.95" customHeight="1" x14ac:dyDescent="0.25">
      <c r="D179" s="12" t="str">
        <f>IFERROR(VLOOKUP(A179,'⚖️ Balance à importer'!A:D,4,FALSE) - VLOOKUP(A179,'⚖️ Balance à importer'!A:D,3,FALSE), "")</f>
        <v/>
      </c>
    </row>
    <row r="180" spans="4:4" ht="18.95" customHeight="1" x14ac:dyDescent="0.25">
      <c r="D180" s="12" t="str">
        <f>IFERROR(VLOOKUP(A180,'⚖️ Balance à importer'!A:D,4,FALSE) - VLOOKUP(A180,'⚖️ Balance à importer'!A:D,3,FALSE), "")</f>
        <v/>
      </c>
    </row>
    <row r="181" spans="4:4" ht="18.95" customHeight="1" x14ac:dyDescent="0.25">
      <c r="D181" s="12" t="str">
        <f>IFERROR(VLOOKUP(A181,'⚖️ Balance à importer'!A:D,4,FALSE) - VLOOKUP(A181,'⚖️ Balance à importer'!A:D,3,FALSE), "")</f>
        <v/>
      </c>
    </row>
    <row r="182" spans="4:4" ht="18.95" customHeight="1" x14ac:dyDescent="0.25">
      <c r="D182" s="12" t="str">
        <f>IFERROR(VLOOKUP(A182,'⚖️ Balance à importer'!A:D,4,FALSE) - VLOOKUP(A182,'⚖️ Balance à importer'!A:D,3,FALSE), "")</f>
        <v/>
      </c>
    </row>
    <row r="183" spans="4:4" ht="18.95" customHeight="1" x14ac:dyDescent="0.25">
      <c r="D183" s="12" t="str">
        <f>IFERROR(VLOOKUP(A183,'⚖️ Balance à importer'!A:D,4,FALSE) - VLOOKUP(A183,'⚖️ Balance à importer'!A:D,3,FALSE), "")</f>
        <v/>
      </c>
    </row>
    <row r="184" spans="4:4" ht="18.95" customHeight="1" x14ac:dyDescent="0.25">
      <c r="D184" s="12" t="str">
        <f>IFERROR(VLOOKUP(A184,'⚖️ Balance à importer'!A:D,4,FALSE) - VLOOKUP(A184,'⚖️ Balance à importer'!A:D,3,FALSE), "")</f>
        <v/>
      </c>
    </row>
    <row r="185" spans="4:4" ht="18.95" customHeight="1" x14ac:dyDescent="0.25">
      <c r="D185" s="12" t="str">
        <f>IFERROR(VLOOKUP(A185,'⚖️ Balance à importer'!A:D,4,FALSE) - VLOOKUP(A185,'⚖️ Balance à importer'!A:D,3,FALSE), "")</f>
        <v/>
      </c>
    </row>
    <row r="186" spans="4:4" ht="18.95" customHeight="1" x14ac:dyDescent="0.25">
      <c r="D186" s="12" t="str">
        <f>IFERROR(VLOOKUP(A186,'⚖️ Balance à importer'!A:D,4,FALSE) - VLOOKUP(A186,'⚖️ Balance à importer'!A:D,3,FALSE), "")</f>
        <v/>
      </c>
    </row>
    <row r="187" spans="4:4" ht="18.95" customHeight="1" x14ac:dyDescent="0.25">
      <c r="D187" s="12" t="str">
        <f>IFERROR(VLOOKUP(A187,'⚖️ Balance à importer'!A:D,4,FALSE) - VLOOKUP(A187,'⚖️ Balance à importer'!A:D,3,FALSE), "")</f>
        <v/>
      </c>
    </row>
    <row r="188" spans="4:4" ht="18.95" customHeight="1" x14ac:dyDescent="0.25">
      <c r="D188" s="12" t="str">
        <f>IFERROR(VLOOKUP(A188,'⚖️ Balance à importer'!A:D,4,FALSE) - VLOOKUP(A188,'⚖️ Balance à importer'!A:D,3,FALSE), "")</f>
        <v/>
      </c>
    </row>
    <row r="189" spans="4:4" ht="18.95" customHeight="1" x14ac:dyDescent="0.25">
      <c r="D189" s="12" t="str">
        <f>IFERROR(VLOOKUP(A189,'⚖️ Balance à importer'!A:D,4,FALSE) - VLOOKUP(A189,'⚖️ Balance à importer'!A:D,3,FALSE), "")</f>
        <v/>
      </c>
    </row>
    <row r="190" spans="4:4" ht="18.95" customHeight="1" x14ac:dyDescent="0.25">
      <c r="D190" s="12" t="str">
        <f>IFERROR(VLOOKUP(A190,'⚖️ Balance à importer'!A:D,4,FALSE) - VLOOKUP(A190,'⚖️ Balance à importer'!A:D,3,FALSE), "")</f>
        <v/>
      </c>
    </row>
    <row r="191" spans="4:4" ht="18.95" customHeight="1" x14ac:dyDescent="0.25">
      <c r="D191" s="12" t="str">
        <f>IFERROR(VLOOKUP(A191,'⚖️ Balance à importer'!A:D,4,FALSE) - VLOOKUP(A191,'⚖️ Balance à importer'!A:D,3,FALSE), "")</f>
        <v/>
      </c>
    </row>
    <row r="192" spans="4:4" ht="18.95" customHeight="1" x14ac:dyDescent="0.25">
      <c r="D192" s="12" t="str">
        <f>IFERROR(VLOOKUP(A192,'⚖️ Balance à importer'!A:D,4,FALSE) - VLOOKUP(A192,'⚖️ Balance à importer'!A:D,3,FALSE), "")</f>
        <v/>
      </c>
    </row>
    <row r="193" spans="4:4" ht="18.95" customHeight="1" x14ac:dyDescent="0.25">
      <c r="D193" s="12" t="str">
        <f>IFERROR(VLOOKUP(A193,'⚖️ Balance à importer'!A:D,4,FALSE) - VLOOKUP(A193,'⚖️ Balance à importer'!A:D,3,FALSE), "")</f>
        <v/>
      </c>
    </row>
    <row r="194" spans="4:4" ht="18.95" customHeight="1" x14ac:dyDescent="0.25">
      <c r="D194" s="12" t="str">
        <f>IFERROR(VLOOKUP(A194,'⚖️ Balance à importer'!A:D,4,FALSE) - VLOOKUP(A194,'⚖️ Balance à importer'!A:D,3,FALSE), "")</f>
        <v/>
      </c>
    </row>
    <row r="195" spans="4:4" ht="18.95" customHeight="1" x14ac:dyDescent="0.25">
      <c r="D195" s="12" t="str">
        <f>IFERROR(VLOOKUP(A195,'⚖️ Balance à importer'!A:D,4,FALSE) - VLOOKUP(A195,'⚖️ Balance à importer'!A:D,3,FALSE), "")</f>
        <v/>
      </c>
    </row>
    <row r="196" spans="4:4" ht="18.95" customHeight="1" x14ac:dyDescent="0.25">
      <c r="D196" s="12" t="str">
        <f>IFERROR(VLOOKUP(A196,'⚖️ Balance à importer'!A:D,4,FALSE) - VLOOKUP(A196,'⚖️ Balance à importer'!A:D,3,FALSE), "")</f>
        <v/>
      </c>
    </row>
    <row r="197" spans="4:4" ht="18.95" customHeight="1" x14ac:dyDescent="0.25">
      <c r="D197" s="12" t="str">
        <f>IFERROR(VLOOKUP(A197,'⚖️ Balance à importer'!A:D,4,FALSE) - VLOOKUP(A197,'⚖️ Balance à importer'!A:D,3,FALSE), "")</f>
        <v/>
      </c>
    </row>
    <row r="198" spans="4:4" ht="18.95" customHeight="1" x14ac:dyDescent="0.25">
      <c r="D198" s="12" t="str">
        <f>IFERROR(VLOOKUP(A198,'⚖️ Balance à importer'!A:D,4,FALSE) - VLOOKUP(A198,'⚖️ Balance à importer'!A:D,3,FALSE), "")</f>
        <v/>
      </c>
    </row>
    <row r="199" spans="4:4" ht="18.95" customHeight="1" x14ac:dyDescent="0.25">
      <c r="D199" s="12" t="str">
        <f>IFERROR(VLOOKUP(A199,'⚖️ Balance à importer'!A:D,4,FALSE) - VLOOKUP(A199,'⚖️ Balance à importer'!A:D,3,FALSE), "")</f>
        <v/>
      </c>
    </row>
    <row r="200" spans="4:4" ht="18.95" customHeight="1" x14ac:dyDescent="0.25">
      <c r="D200" s="12" t="str">
        <f>IFERROR(VLOOKUP(A200,'⚖️ Balance à importer'!A:D,4,FALSE) - VLOOKUP(A200,'⚖️ Balance à importer'!A:D,3,FALSE), "")</f>
        <v/>
      </c>
    </row>
    <row r="201" spans="4:4" ht="18.95" customHeight="1" x14ac:dyDescent="0.25">
      <c r="D201" s="12" t="str">
        <f>IFERROR(VLOOKUP(A201,'⚖️ Balance à importer'!A:D,4,FALSE) - VLOOKUP(A201,'⚖️ Balance à importer'!A:D,3,FALSE), "")</f>
        <v/>
      </c>
    </row>
    <row r="202" spans="4:4" ht="18.95" customHeight="1" x14ac:dyDescent="0.25">
      <c r="D202" s="12" t="str">
        <f>IFERROR(VLOOKUP(A202,'⚖️ Balance à importer'!A:D,4,FALSE) - VLOOKUP(A202,'⚖️ Balance à importer'!A:D,3,FALSE), "")</f>
        <v/>
      </c>
    </row>
    <row r="203" spans="4:4" ht="18.95" customHeight="1" x14ac:dyDescent="0.25">
      <c r="D203" s="12" t="str">
        <f>IFERROR(VLOOKUP(A203,'⚖️ Balance à importer'!A:D,4,FALSE) - VLOOKUP(A203,'⚖️ Balance à importer'!A:D,3,FALSE), "")</f>
        <v/>
      </c>
    </row>
    <row r="204" spans="4:4" ht="18.95" customHeight="1" x14ac:dyDescent="0.25">
      <c r="D204" s="12" t="str">
        <f>IFERROR(VLOOKUP(A204,'⚖️ Balance à importer'!A:D,4,FALSE) - VLOOKUP(A204,'⚖️ Balance à importer'!A:D,3,FALSE), "")</f>
        <v/>
      </c>
    </row>
    <row r="205" spans="4:4" ht="18.95" customHeight="1" x14ac:dyDescent="0.25">
      <c r="D205" s="12" t="str">
        <f>IFERROR(VLOOKUP(A205,'⚖️ Balance à importer'!A:D,4,FALSE) - VLOOKUP(A205,'⚖️ Balance à importer'!A:D,3,FALSE), "")</f>
        <v/>
      </c>
    </row>
    <row r="206" spans="4:4" ht="18.95" customHeight="1" x14ac:dyDescent="0.25">
      <c r="D206" s="12" t="str">
        <f>IFERROR(VLOOKUP(A206,'⚖️ Balance à importer'!A:D,4,FALSE) - VLOOKUP(A206,'⚖️ Balance à importer'!A:D,3,FALSE), "")</f>
        <v/>
      </c>
    </row>
    <row r="207" spans="4:4" ht="18.95" customHeight="1" x14ac:dyDescent="0.25">
      <c r="D207" s="12" t="str">
        <f>IFERROR(VLOOKUP(A207,'⚖️ Balance à importer'!A:D,4,FALSE) - VLOOKUP(A207,'⚖️ Balance à importer'!A:D,3,FALSE), "")</f>
        <v/>
      </c>
    </row>
    <row r="208" spans="4:4" ht="15.75" x14ac:dyDescent="0.25">
      <c r="D208" s="12" t="str">
        <f>IFERROR(VLOOKUP(A208,'⚖️ Balance à importer'!A:D,4,FALSE) - VLOOKUP(A208,'⚖️ Balance à importer'!A:D,3,FALSE), "")</f>
        <v/>
      </c>
    </row>
    <row r="209" spans="4:4" ht="15.75" x14ac:dyDescent="0.25">
      <c r="D209" s="12" t="str">
        <f>IFERROR(VLOOKUP(A209,'⚖️ Balance à importer'!A:D,4,FALSE) - VLOOKUP(A209,'⚖️ Balance à importer'!A:D,3,FALSE), "")</f>
        <v/>
      </c>
    </row>
    <row r="210" spans="4:4" ht="15.75" x14ac:dyDescent="0.25">
      <c r="D210" s="12" t="str">
        <f>IFERROR(VLOOKUP(A210,'⚖️ Balance à importer'!A:D,4,FALSE) - VLOOKUP(A210,'⚖️ Balance à importer'!A:D,3,FALSE), "")</f>
        <v/>
      </c>
    </row>
    <row r="211" spans="4:4" ht="15.75" x14ac:dyDescent="0.25">
      <c r="D211" s="12" t="str">
        <f>IFERROR(VLOOKUP(A211,'⚖️ Balance à importer'!A:D,4,FALSE) - VLOOKUP(A211,'⚖️ Balance à importer'!A:D,3,FALSE), "")</f>
        <v/>
      </c>
    </row>
    <row r="212" spans="4:4" ht="15.75" x14ac:dyDescent="0.25">
      <c r="D212" s="12" t="str">
        <f>IFERROR(VLOOKUP(A212,'⚖️ Balance à importer'!A:D,4,FALSE) - VLOOKUP(A212,'⚖️ Balance à importer'!A:D,3,FALSE), "")</f>
        <v/>
      </c>
    </row>
    <row r="213" spans="4:4" ht="15.75" x14ac:dyDescent="0.25">
      <c r="D213" s="12" t="str">
        <f>IFERROR(VLOOKUP(A213,'⚖️ Balance à importer'!A:D,4,FALSE) - VLOOKUP(A213,'⚖️ Balance à importer'!A:D,3,FALSE), "")</f>
        <v/>
      </c>
    </row>
    <row r="214" spans="4:4" ht="15.75" x14ac:dyDescent="0.25">
      <c r="D214" s="12" t="str">
        <f>IFERROR(VLOOKUP(A214,'⚖️ Balance à importer'!A:D,4,FALSE) - VLOOKUP(A214,'⚖️ Balance à importer'!A:D,3,FALSE), "")</f>
        <v/>
      </c>
    </row>
    <row r="215" spans="4:4" ht="15.75" x14ac:dyDescent="0.25">
      <c r="D215" s="12" t="str">
        <f>IFERROR(VLOOKUP(A215,'⚖️ Balance à importer'!A:D,4,FALSE) - VLOOKUP(A215,'⚖️ Balance à importer'!A:D,3,FALSE), "")</f>
        <v/>
      </c>
    </row>
    <row r="216" spans="4:4" ht="15.75" x14ac:dyDescent="0.25">
      <c r="D216" s="12" t="str">
        <f>IFERROR(VLOOKUP(A216,'⚖️ Balance à importer'!A:D,4,FALSE) - VLOOKUP(A216,'⚖️ Balance à importer'!A:D,3,FALSE), "")</f>
        <v/>
      </c>
    </row>
    <row r="217" spans="4:4" ht="15.75" x14ac:dyDescent="0.25">
      <c r="D217" s="12" t="str">
        <f>IFERROR(VLOOKUP(A217,'⚖️ Balance à importer'!A:D,4,FALSE) - VLOOKUP(A217,'⚖️ Balance à importer'!A:D,3,FALSE), "")</f>
        <v/>
      </c>
    </row>
    <row r="218" spans="4:4" ht="15.75" x14ac:dyDescent="0.25">
      <c r="D218" s="12" t="str">
        <f>IFERROR(VLOOKUP(A218,'⚖️ Balance à importer'!A:D,4,FALSE) - VLOOKUP(A218,'⚖️ Balance à importer'!A:D,3,FALSE), "")</f>
        <v/>
      </c>
    </row>
    <row r="219" spans="4:4" ht="15.75" x14ac:dyDescent="0.25">
      <c r="D219" s="12" t="str">
        <f>IFERROR(VLOOKUP(A219,'⚖️ Balance à importer'!A:D,4,FALSE) - VLOOKUP(A219,'⚖️ Balance à importer'!A:D,3,FALSE), "")</f>
        <v/>
      </c>
    </row>
    <row r="220" spans="4:4" ht="15.75" x14ac:dyDescent="0.25">
      <c r="D220" s="12" t="str">
        <f>IFERROR(VLOOKUP(A220,'⚖️ Balance à importer'!A:D,4,FALSE) - VLOOKUP(A220,'⚖️ Balance à importer'!A:D,3,FALSE), "")</f>
        <v/>
      </c>
    </row>
    <row r="221" spans="4:4" ht="15.75" x14ac:dyDescent="0.25">
      <c r="D221" s="12" t="str">
        <f>IFERROR(VLOOKUP(A221,'⚖️ Balance à importer'!A:D,4,FALSE) - VLOOKUP(A221,'⚖️ Balance à importer'!A:D,3,FALSE), "")</f>
        <v/>
      </c>
    </row>
    <row r="222" spans="4:4" ht="15.75" x14ac:dyDescent="0.25">
      <c r="D222" s="12" t="str">
        <f>IFERROR(VLOOKUP(A222,'⚖️ Balance à importer'!A:D,4,FALSE) - VLOOKUP(A222,'⚖️ Balance à importer'!A:D,3,FALSE), "")</f>
        <v/>
      </c>
    </row>
    <row r="223" spans="4:4" ht="15.75" x14ac:dyDescent="0.25">
      <c r="D223" s="12" t="str">
        <f>IFERROR(VLOOKUP(A223,'⚖️ Balance à importer'!A:D,4,FALSE) - VLOOKUP(A223,'⚖️ Balance à importer'!A:D,3,FALSE), "")</f>
        <v/>
      </c>
    </row>
    <row r="224" spans="4:4" ht="15.75" x14ac:dyDescent="0.25">
      <c r="D224" s="12" t="str">
        <f>IFERROR(VLOOKUP(A224,'⚖️ Balance à importer'!A:D,4,FALSE) - VLOOKUP(A224,'⚖️ Balance à importer'!A:D,3,FALSE), "")</f>
        <v/>
      </c>
    </row>
    <row r="225" spans="4:4" ht="15.75" x14ac:dyDescent="0.25">
      <c r="D225" s="12" t="str">
        <f>IFERROR(VLOOKUP(A225,'⚖️ Balance à importer'!A:D,4,FALSE) - VLOOKUP(A225,'⚖️ Balance à importer'!A:D,3,FALSE), "")</f>
        <v/>
      </c>
    </row>
    <row r="226" spans="4:4" ht="15.75" x14ac:dyDescent="0.25">
      <c r="D226" s="12" t="str">
        <f>IFERROR(VLOOKUP(A226,'⚖️ Balance à importer'!A:D,4,FALSE) - VLOOKUP(A226,'⚖️ Balance à importer'!A:D,3,FALSE), "")</f>
        <v/>
      </c>
    </row>
    <row r="227" spans="4:4" ht="15.75" x14ac:dyDescent="0.25">
      <c r="D227" s="12" t="str">
        <f>IFERROR(VLOOKUP(A227,'⚖️ Balance à importer'!A:D,4,FALSE) - VLOOKUP(A227,'⚖️ Balance à importer'!A:D,3,FALSE), "")</f>
        <v/>
      </c>
    </row>
    <row r="228" spans="4:4" ht="15.75" x14ac:dyDescent="0.25">
      <c r="D228" s="12" t="str">
        <f>IFERROR(VLOOKUP(A228,'⚖️ Balance à importer'!A:D,4,FALSE) - VLOOKUP(A228,'⚖️ Balance à importer'!A:D,3,FALSE), "")</f>
        <v/>
      </c>
    </row>
    <row r="229" spans="4:4" ht="15.75" x14ac:dyDescent="0.25">
      <c r="D229" s="12" t="str">
        <f>IFERROR(VLOOKUP(A229,'⚖️ Balance à importer'!A:D,4,FALSE) - VLOOKUP(A229,'⚖️ Balance à importer'!A:D,3,FALSE), "")</f>
        <v/>
      </c>
    </row>
    <row r="230" spans="4:4" ht="15.75" x14ac:dyDescent="0.25">
      <c r="D230" s="12" t="str">
        <f>IFERROR(VLOOKUP(A230,'⚖️ Balance à importer'!A:D,4,FALSE) - VLOOKUP(A230,'⚖️ Balance à importer'!A:D,3,FALSE), "")</f>
        <v/>
      </c>
    </row>
    <row r="231" spans="4:4" ht="15.75" x14ac:dyDescent="0.25">
      <c r="D231" s="12" t="str">
        <f>IFERROR(VLOOKUP(A231,'⚖️ Balance à importer'!A:D,4,FALSE) - VLOOKUP(A231,'⚖️ Balance à importer'!A:D,3,FALSE), "")</f>
        <v/>
      </c>
    </row>
    <row r="232" spans="4:4" ht="15.75" x14ac:dyDescent="0.25">
      <c r="D232" s="12" t="str">
        <f>IFERROR(VLOOKUP(A232,'⚖️ Balance à importer'!A:D,4,FALSE) - VLOOKUP(A232,'⚖️ Balance à importer'!A:D,3,FALSE), "")</f>
        <v/>
      </c>
    </row>
    <row r="233" spans="4:4" ht="15.75" x14ac:dyDescent="0.25">
      <c r="D233" s="12" t="str">
        <f>IFERROR(VLOOKUP(A233,'⚖️ Balance à importer'!A:D,4,FALSE) - VLOOKUP(A233,'⚖️ Balance à importer'!A:D,3,FALSE), "")</f>
        <v/>
      </c>
    </row>
    <row r="234" spans="4:4" ht="15.75" x14ac:dyDescent="0.25">
      <c r="D234" s="12" t="str">
        <f>IFERROR(VLOOKUP(A234,'⚖️ Balance à importer'!A:D,4,FALSE) - VLOOKUP(A234,'⚖️ Balance à importer'!A:D,3,FALSE), "")</f>
        <v/>
      </c>
    </row>
    <row r="235" spans="4:4" ht="15.75" x14ac:dyDescent="0.25">
      <c r="D235" s="12" t="str">
        <f>IFERROR(VLOOKUP(A235,'⚖️ Balance à importer'!A:D,4,FALSE) - VLOOKUP(A235,'⚖️ Balance à importer'!A:D,3,FALSE), "")</f>
        <v/>
      </c>
    </row>
    <row r="236" spans="4:4" ht="15.75" x14ac:dyDescent="0.25">
      <c r="D236" s="12" t="str">
        <f>IFERROR(VLOOKUP(A236,'⚖️ Balance à importer'!A:D,4,FALSE) - VLOOKUP(A236,'⚖️ Balance à importer'!A:D,3,FALSE), "")</f>
        <v/>
      </c>
    </row>
    <row r="237" spans="4:4" ht="15.75" x14ac:dyDescent="0.25">
      <c r="D237" s="12" t="str">
        <f>IFERROR(VLOOKUP(A237,'⚖️ Balance à importer'!A:D,4,FALSE) - VLOOKUP(A237,'⚖️ Balance à importer'!A:D,3,FALSE), "")</f>
        <v/>
      </c>
    </row>
    <row r="238" spans="4:4" ht="15.75" x14ac:dyDescent="0.25">
      <c r="D238" s="12" t="str">
        <f>IFERROR(VLOOKUP(A238,'⚖️ Balance à importer'!A:D,4,FALSE) - VLOOKUP(A238,'⚖️ Balance à importer'!A:D,3,FALSE), "")</f>
        <v/>
      </c>
    </row>
    <row r="239" spans="4:4" ht="15.75" x14ac:dyDescent="0.25">
      <c r="D239" s="12" t="str">
        <f>IFERROR(VLOOKUP(A239,'⚖️ Balance à importer'!A:D,4,FALSE) - VLOOKUP(A239,'⚖️ Balance à importer'!A:D,3,FALSE), "")</f>
        <v/>
      </c>
    </row>
    <row r="240" spans="4:4" ht="15.75" x14ac:dyDescent="0.25">
      <c r="D240" s="12" t="str">
        <f>IFERROR(VLOOKUP(A240,'⚖️ Balance à importer'!A:D,4,FALSE) - VLOOKUP(A240,'⚖️ Balance à importer'!A:D,3,FALSE), "")</f>
        <v/>
      </c>
    </row>
    <row r="241" spans="4:4" ht="15.75" x14ac:dyDescent="0.25">
      <c r="D241" s="12" t="str">
        <f>IFERROR(VLOOKUP(A241,'⚖️ Balance à importer'!A:D,4,FALSE) - VLOOKUP(A241,'⚖️ Balance à importer'!A:D,3,FALSE), "")</f>
        <v/>
      </c>
    </row>
    <row r="242" spans="4:4" ht="15.75" x14ac:dyDescent="0.25">
      <c r="D242" s="12" t="str">
        <f>IFERROR(VLOOKUP(A242,'⚖️ Balance à importer'!A:D,4,FALSE) - VLOOKUP(A242,'⚖️ Balance à importer'!A:D,3,FALSE), "")</f>
        <v/>
      </c>
    </row>
    <row r="243" spans="4:4" ht="15.75" x14ac:dyDescent="0.25">
      <c r="D243" s="12" t="str">
        <f>IFERROR(VLOOKUP(A243,'⚖️ Balance à importer'!A:D,4,FALSE) - VLOOKUP(A243,'⚖️ Balance à importer'!A:D,3,FALSE), "")</f>
        <v/>
      </c>
    </row>
    <row r="244" spans="4:4" ht="15.75" x14ac:dyDescent="0.25">
      <c r="D244" s="12" t="str">
        <f>IFERROR(VLOOKUP(A244,'⚖️ Balance à importer'!A:D,4,FALSE) - VLOOKUP(A244,'⚖️ Balance à importer'!A:D,3,FALSE), "")</f>
        <v/>
      </c>
    </row>
    <row r="245" spans="4:4" ht="15.75" x14ac:dyDescent="0.25">
      <c r="D245" s="12" t="str">
        <f>IFERROR(VLOOKUP(A245,'⚖️ Balance à importer'!A:D,4,FALSE) - VLOOKUP(A245,'⚖️ Balance à importer'!A:D,3,FALSE), "")</f>
        <v/>
      </c>
    </row>
    <row r="246" spans="4:4" ht="15.75" x14ac:dyDescent="0.25">
      <c r="D246" s="12" t="str">
        <f>IFERROR(VLOOKUP(A246,'⚖️ Balance à importer'!A:D,4,FALSE) - VLOOKUP(A246,'⚖️ Balance à importer'!A:D,3,FALSE), "")</f>
        <v/>
      </c>
    </row>
    <row r="247" spans="4:4" ht="15.75" x14ac:dyDescent="0.25">
      <c r="D247" s="12" t="str">
        <f>IFERROR(VLOOKUP(A247,'⚖️ Balance à importer'!A:D,4,FALSE) - VLOOKUP(A247,'⚖️ Balance à importer'!A:D,3,FALSE), "")</f>
        <v/>
      </c>
    </row>
    <row r="248" spans="4:4" ht="15.75" x14ac:dyDescent="0.25">
      <c r="D248" s="12" t="str">
        <f>IFERROR(VLOOKUP(A248,'⚖️ Balance à importer'!A:D,4,FALSE) - VLOOKUP(A248,'⚖️ Balance à importer'!A:D,3,FALSE), "")</f>
        <v/>
      </c>
    </row>
    <row r="249" spans="4:4" ht="15.75" x14ac:dyDescent="0.25">
      <c r="D249" s="12" t="str">
        <f>IFERROR(VLOOKUP(A249,'⚖️ Balance à importer'!A:D,4,FALSE) - VLOOKUP(A249,'⚖️ Balance à importer'!A:D,3,FALSE), "")</f>
        <v/>
      </c>
    </row>
    <row r="250" spans="4:4" ht="15.75" x14ac:dyDescent="0.25">
      <c r="D250" s="12" t="str">
        <f>IFERROR(VLOOKUP(A250,'⚖️ Balance à importer'!A:D,4,FALSE) - VLOOKUP(A250,'⚖️ Balance à importer'!A:D,3,FALSE), "")</f>
        <v/>
      </c>
    </row>
    <row r="251" spans="4:4" ht="15.75" x14ac:dyDescent="0.25">
      <c r="D251" s="12" t="str">
        <f>IFERROR(VLOOKUP(A251,'⚖️ Balance à importer'!A:D,4,FALSE) - VLOOKUP(A251,'⚖️ Balance à importer'!A:D,3,FALSE), "")</f>
        <v/>
      </c>
    </row>
    <row r="252" spans="4:4" ht="15.75" x14ac:dyDescent="0.25">
      <c r="D252" s="12" t="str">
        <f>IFERROR(VLOOKUP(A252,'⚖️ Balance à importer'!A:D,4,FALSE) - VLOOKUP(A252,'⚖️ Balance à importer'!A:D,3,FALSE), "")</f>
        <v/>
      </c>
    </row>
    <row r="253" spans="4:4" ht="15.75" x14ac:dyDescent="0.25">
      <c r="D253" s="12" t="str">
        <f>IFERROR(VLOOKUP(A253,'⚖️ Balance à importer'!A:D,4,FALSE) - VLOOKUP(A253,'⚖️ Balance à importer'!A:D,3,FALSE), "")</f>
        <v/>
      </c>
    </row>
    <row r="254" spans="4:4" ht="15.75" x14ac:dyDescent="0.25">
      <c r="D254" s="12" t="str">
        <f>IFERROR(VLOOKUP(A254,'⚖️ Balance à importer'!A:D,4,FALSE) - VLOOKUP(A254,'⚖️ Balance à importer'!A:D,3,FALSE), "")</f>
        <v/>
      </c>
    </row>
    <row r="255" spans="4:4" ht="15.75" x14ac:dyDescent="0.25">
      <c r="D255" s="12" t="str">
        <f>IFERROR(VLOOKUP(A255,'⚖️ Balance à importer'!A:D,4,FALSE) - VLOOKUP(A255,'⚖️ Balance à importer'!A:D,3,FALSE), "")</f>
        <v/>
      </c>
    </row>
    <row r="256" spans="4:4" ht="15.75" x14ac:dyDescent="0.25">
      <c r="D256" s="12" t="str">
        <f>IFERROR(VLOOKUP(A256,'⚖️ Balance à importer'!A:D,4,FALSE) - VLOOKUP(A256,'⚖️ Balance à importer'!A:D,3,FALSE), "")</f>
        <v/>
      </c>
    </row>
    <row r="257" spans="4:4" ht="15.75" x14ac:dyDescent="0.25">
      <c r="D257" s="12" t="str">
        <f>IFERROR(VLOOKUP(A257,'⚖️ Balance à importer'!A:D,4,FALSE) - VLOOKUP(A257,'⚖️ Balance à importer'!A:D,3,FALSE), "")</f>
        <v/>
      </c>
    </row>
    <row r="258" spans="4:4" ht="15.75" x14ac:dyDescent="0.25">
      <c r="D258" s="12" t="str">
        <f>IFERROR(VLOOKUP(A258,'⚖️ Balance à importer'!A:D,4,FALSE) - VLOOKUP(A258,'⚖️ Balance à importer'!A:D,3,FALSE), "")</f>
        <v/>
      </c>
    </row>
    <row r="259" spans="4:4" ht="15.75" x14ac:dyDescent="0.25">
      <c r="D259" s="12" t="str">
        <f>IFERROR(VLOOKUP(A259,'⚖️ Balance à importer'!A:D,4,FALSE) - VLOOKUP(A259,'⚖️ Balance à importer'!A:D,3,FALSE), "")</f>
        <v/>
      </c>
    </row>
    <row r="260" spans="4:4" ht="15.75" x14ac:dyDescent="0.25">
      <c r="D260" s="12" t="str">
        <f>IFERROR(VLOOKUP(A260,'⚖️ Balance à importer'!A:D,4,FALSE) - VLOOKUP(A260,'⚖️ Balance à importer'!A:D,3,FALSE), "")</f>
        <v/>
      </c>
    </row>
    <row r="261" spans="4:4" ht="15.75" x14ac:dyDescent="0.25">
      <c r="D261" s="12" t="str">
        <f>IFERROR(VLOOKUP(A261,'⚖️ Balance à importer'!A:D,4,FALSE) - VLOOKUP(A261,'⚖️ Balance à importer'!A:D,3,FALSE), "")</f>
        <v/>
      </c>
    </row>
    <row r="262" spans="4:4" ht="15.75" x14ac:dyDescent="0.25">
      <c r="D262" s="12" t="str">
        <f>IFERROR(VLOOKUP(A262,'⚖️ Balance à importer'!A:D,4,FALSE) - VLOOKUP(A262,'⚖️ Balance à importer'!A:D,3,FALSE), "")</f>
        <v/>
      </c>
    </row>
    <row r="263" spans="4:4" ht="15.75" x14ac:dyDescent="0.25">
      <c r="D263" s="12" t="str">
        <f>IFERROR(VLOOKUP(A263,'⚖️ Balance à importer'!A:D,4,FALSE) - VLOOKUP(A263,'⚖️ Balance à importer'!A:D,3,FALSE), "")</f>
        <v/>
      </c>
    </row>
    <row r="264" spans="4:4" ht="15.75" x14ac:dyDescent="0.25">
      <c r="D264" s="12" t="str">
        <f>IFERROR(VLOOKUP(A264,'⚖️ Balance à importer'!A:D,4,FALSE) - VLOOKUP(A264,'⚖️ Balance à importer'!A:D,3,FALSE), "")</f>
        <v/>
      </c>
    </row>
    <row r="265" spans="4:4" ht="15.75" x14ac:dyDescent="0.25">
      <c r="D265" s="12" t="str">
        <f>IFERROR(VLOOKUP(A265,'⚖️ Balance à importer'!A:D,4,FALSE) - VLOOKUP(A265,'⚖️ Balance à importer'!A:D,3,FALSE), "")</f>
        <v/>
      </c>
    </row>
    <row r="266" spans="4:4" ht="15.75" x14ac:dyDescent="0.25">
      <c r="D266" s="12" t="str">
        <f>IFERROR(VLOOKUP(A266,'⚖️ Balance à importer'!A:D,4,FALSE) - VLOOKUP(A266,'⚖️ Balance à importer'!A:D,3,FALSE), "")</f>
        <v/>
      </c>
    </row>
    <row r="267" spans="4:4" ht="15.75" x14ac:dyDescent="0.25">
      <c r="D267" s="12" t="str">
        <f>IFERROR(VLOOKUP(A267,'⚖️ Balance à importer'!A:D,4,FALSE) - VLOOKUP(A267,'⚖️ Balance à importer'!A:D,3,FALSE), "")</f>
        <v/>
      </c>
    </row>
    <row r="268" spans="4:4" ht="15.75" x14ac:dyDescent="0.25">
      <c r="D268" s="12" t="str">
        <f>IFERROR(VLOOKUP(A268,'⚖️ Balance à importer'!A:D,4,FALSE) - VLOOKUP(A268,'⚖️ Balance à importer'!A:D,3,FALSE), "")</f>
        <v/>
      </c>
    </row>
    <row r="269" spans="4:4" ht="15.75" x14ac:dyDescent="0.25">
      <c r="D269" s="12" t="str">
        <f>IFERROR(VLOOKUP(A269,'⚖️ Balance à importer'!A:D,4,FALSE) - VLOOKUP(A269,'⚖️ Balance à importer'!A:D,3,FALSE), "")</f>
        <v/>
      </c>
    </row>
    <row r="270" spans="4:4" ht="15.75" x14ac:dyDescent="0.25">
      <c r="D270" s="12" t="str">
        <f>IFERROR(VLOOKUP(A270,'⚖️ Balance à importer'!A:D,4,FALSE) - VLOOKUP(A270,'⚖️ Balance à importer'!A:D,3,FALSE), "")</f>
        <v/>
      </c>
    </row>
    <row r="271" spans="4:4" ht="15.75" x14ac:dyDescent="0.25">
      <c r="D271" s="12" t="str">
        <f>IFERROR(VLOOKUP(A271,'⚖️ Balance à importer'!A:D,4,FALSE) - VLOOKUP(A271,'⚖️ Balance à importer'!A:D,3,FALSE), "")</f>
        <v/>
      </c>
    </row>
    <row r="272" spans="4:4" ht="15.75" x14ac:dyDescent="0.25">
      <c r="D272" s="12" t="str">
        <f>IFERROR(VLOOKUP(A272,'⚖️ Balance à importer'!A:D,4,FALSE) - VLOOKUP(A272,'⚖️ Balance à importer'!A:D,3,FALSE), "")</f>
        <v/>
      </c>
    </row>
    <row r="273" spans="4:4" ht="15.75" x14ac:dyDescent="0.25">
      <c r="D273" s="12" t="str">
        <f>IFERROR(VLOOKUP(A273,'⚖️ Balance à importer'!A:D,4,FALSE) - VLOOKUP(A273,'⚖️ Balance à importer'!A:D,3,FALSE), "")</f>
        <v/>
      </c>
    </row>
    <row r="274" spans="4:4" ht="15.75" x14ac:dyDescent="0.25">
      <c r="D274" s="12" t="str">
        <f>IFERROR(VLOOKUP(A274,'⚖️ Balance à importer'!A:D,4,FALSE) - VLOOKUP(A274,'⚖️ Balance à importer'!A:D,3,FALSE), "")</f>
        <v/>
      </c>
    </row>
    <row r="275" spans="4:4" ht="15.75" x14ac:dyDescent="0.25">
      <c r="D275" s="12" t="str">
        <f>IFERROR(VLOOKUP(A275,'⚖️ Balance à importer'!A:D,4,FALSE) - VLOOKUP(A275,'⚖️ Balance à importer'!A:D,3,FALSE), "")</f>
        <v/>
      </c>
    </row>
    <row r="276" spans="4:4" ht="15.75" x14ac:dyDescent="0.25">
      <c r="D276" s="12" t="str">
        <f>IFERROR(VLOOKUP(A276,'⚖️ Balance à importer'!A:D,4,FALSE) - VLOOKUP(A276,'⚖️ Balance à importer'!A:D,3,FALSE), "")</f>
        <v/>
      </c>
    </row>
    <row r="277" spans="4:4" ht="15.75" x14ac:dyDescent="0.25">
      <c r="D277" s="12" t="str">
        <f>IFERROR(VLOOKUP(A277,'⚖️ Balance à importer'!A:D,4,FALSE) - VLOOKUP(A277,'⚖️ Balance à importer'!A:D,3,FALSE), "")</f>
        <v/>
      </c>
    </row>
    <row r="278" spans="4:4" ht="15.75" x14ac:dyDescent="0.25">
      <c r="D278" s="12" t="str">
        <f>IFERROR(VLOOKUP(A278,'⚖️ Balance à importer'!A:D,4,FALSE) - VLOOKUP(A278,'⚖️ Balance à importer'!A:D,3,FALSE), "")</f>
        <v/>
      </c>
    </row>
    <row r="279" spans="4:4" ht="15.75" x14ac:dyDescent="0.25">
      <c r="D279" s="12" t="str">
        <f>IFERROR(VLOOKUP(A279,'⚖️ Balance à importer'!A:D,4,FALSE) - VLOOKUP(A279,'⚖️ Balance à importer'!A:D,3,FALSE), "")</f>
        <v/>
      </c>
    </row>
    <row r="280" spans="4:4" ht="15.75" x14ac:dyDescent="0.25">
      <c r="D280" s="12" t="str">
        <f>IFERROR(VLOOKUP(A280,'⚖️ Balance à importer'!A:D,4,FALSE) - VLOOKUP(A280,'⚖️ Balance à importer'!A:D,3,FALSE), "")</f>
        <v/>
      </c>
    </row>
    <row r="281" spans="4:4" ht="15.75" x14ac:dyDescent="0.25">
      <c r="D281" s="12" t="str">
        <f>IFERROR(VLOOKUP(A281,'⚖️ Balance à importer'!A:D,4,FALSE) - VLOOKUP(A281,'⚖️ Balance à importer'!A:D,3,FALSE), "")</f>
        <v/>
      </c>
    </row>
    <row r="282" spans="4:4" ht="15.75" x14ac:dyDescent="0.25">
      <c r="D282" s="12" t="str">
        <f>IFERROR(VLOOKUP(A282,'⚖️ Balance à importer'!A:D,4,FALSE) - VLOOKUP(A282,'⚖️ Balance à importer'!A:D,3,FALSE), "")</f>
        <v/>
      </c>
    </row>
    <row r="283" spans="4:4" ht="15.75" x14ac:dyDescent="0.25">
      <c r="D283" s="12" t="str">
        <f>IFERROR(VLOOKUP(A283,'⚖️ Balance à importer'!A:D,4,FALSE) - VLOOKUP(A283,'⚖️ Balance à importer'!A:D,3,FALSE), "")</f>
        <v/>
      </c>
    </row>
    <row r="284" spans="4:4" ht="15.75" x14ac:dyDescent="0.25">
      <c r="D284" s="12" t="str">
        <f>IFERROR(VLOOKUP(A284,'⚖️ Balance à importer'!A:D,4,FALSE) - VLOOKUP(A284,'⚖️ Balance à importer'!A:D,3,FALSE), "")</f>
        <v/>
      </c>
    </row>
    <row r="285" spans="4:4" ht="15.75" x14ac:dyDescent="0.25">
      <c r="D285" s="12" t="str">
        <f>IFERROR(VLOOKUP(A285,'⚖️ Balance à importer'!A:D,4,FALSE) - VLOOKUP(A285,'⚖️ Balance à importer'!A:D,3,FALSE), "")</f>
        <v/>
      </c>
    </row>
    <row r="286" spans="4:4" ht="15.75" x14ac:dyDescent="0.25">
      <c r="D286" s="12" t="str">
        <f>IFERROR(VLOOKUP(A286,'⚖️ Balance à importer'!A:D,4,FALSE) - VLOOKUP(A286,'⚖️ Balance à importer'!A:D,3,FALSE), "")</f>
        <v/>
      </c>
    </row>
    <row r="287" spans="4:4" ht="15.75" x14ac:dyDescent="0.25">
      <c r="D287" s="12" t="str">
        <f>IFERROR(VLOOKUP(A287,'⚖️ Balance à importer'!A:D,4,FALSE) - VLOOKUP(A287,'⚖️ Balance à importer'!A:D,3,FALSE), "")</f>
        <v/>
      </c>
    </row>
    <row r="288" spans="4:4" ht="15.75" x14ac:dyDescent="0.25">
      <c r="D288" s="12" t="str">
        <f>IFERROR(VLOOKUP(A288,'⚖️ Balance à importer'!A:D,4,FALSE) - VLOOKUP(A288,'⚖️ Balance à importer'!A:D,3,FALSE), "")</f>
        <v/>
      </c>
    </row>
    <row r="289" spans="4:4" ht="15.75" x14ac:dyDescent="0.25">
      <c r="D289" s="12" t="str">
        <f>IFERROR(VLOOKUP(A289,'⚖️ Balance à importer'!A:D,4,FALSE) - VLOOKUP(A289,'⚖️ Balance à importer'!A:D,3,FALSE), "")</f>
        <v/>
      </c>
    </row>
    <row r="290" spans="4:4" ht="15.75" x14ac:dyDescent="0.25">
      <c r="D290" s="12" t="str">
        <f>IFERROR(VLOOKUP(A290,'⚖️ Balance à importer'!A:D,4,FALSE) - VLOOKUP(A290,'⚖️ Balance à importer'!A:D,3,FALSE), "")</f>
        <v/>
      </c>
    </row>
    <row r="291" spans="4:4" ht="15.75" x14ac:dyDescent="0.25">
      <c r="D291" s="12" t="str">
        <f>IFERROR(VLOOKUP(A291,'⚖️ Balance à importer'!A:D,4,FALSE) - VLOOKUP(A291,'⚖️ Balance à importer'!A:D,3,FALSE), "")</f>
        <v/>
      </c>
    </row>
    <row r="292" spans="4:4" ht="15.75" x14ac:dyDescent="0.25">
      <c r="D292" s="12" t="str">
        <f>IFERROR(VLOOKUP(A292,'⚖️ Balance à importer'!A:D,4,FALSE) - VLOOKUP(A292,'⚖️ Balance à importer'!A:D,3,FALSE), "")</f>
        <v/>
      </c>
    </row>
    <row r="293" spans="4:4" ht="15.75" x14ac:dyDescent="0.25">
      <c r="D293" s="12" t="str">
        <f>IFERROR(VLOOKUP(A293,'⚖️ Balance à importer'!A:D,4,FALSE) - VLOOKUP(A293,'⚖️ Balance à importer'!A:D,3,FALSE), "")</f>
        <v/>
      </c>
    </row>
    <row r="294" spans="4:4" ht="15.75" x14ac:dyDescent="0.25">
      <c r="D294" s="12" t="str">
        <f>IFERROR(VLOOKUP(A294,'⚖️ Balance à importer'!A:D,4,FALSE) - VLOOKUP(A294,'⚖️ Balance à importer'!A:D,3,FALSE), "")</f>
        <v/>
      </c>
    </row>
    <row r="295" spans="4:4" ht="15.75" x14ac:dyDescent="0.25">
      <c r="D295" s="12" t="str">
        <f>IFERROR(VLOOKUP(A295,'⚖️ Balance à importer'!A:D,4,FALSE) - VLOOKUP(A295,'⚖️ Balance à importer'!A:D,3,FALSE), "")</f>
        <v/>
      </c>
    </row>
    <row r="296" spans="4:4" ht="15.75" x14ac:dyDescent="0.25">
      <c r="D296" s="12" t="str">
        <f>IFERROR(VLOOKUP(A296,'⚖️ Balance à importer'!A:D,4,FALSE) - VLOOKUP(A296,'⚖️ Balance à importer'!A:D,3,FALSE), "")</f>
        <v/>
      </c>
    </row>
    <row r="297" spans="4:4" ht="15.75" x14ac:dyDescent="0.25">
      <c r="D297" s="12" t="str">
        <f>IFERROR(VLOOKUP(A297,'⚖️ Balance à importer'!A:D,4,FALSE) - VLOOKUP(A297,'⚖️ Balance à importer'!A:D,3,FALSE), "")</f>
        <v/>
      </c>
    </row>
    <row r="298" spans="4:4" ht="15.75" x14ac:dyDescent="0.25">
      <c r="D298" s="12" t="str">
        <f>IFERROR(VLOOKUP(A298,'⚖️ Balance à importer'!A:D,4,FALSE) - VLOOKUP(A298,'⚖️ Balance à importer'!A:D,3,FALSE), "")</f>
        <v/>
      </c>
    </row>
    <row r="299" spans="4:4" ht="15.75" x14ac:dyDescent="0.25">
      <c r="D299" s="12" t="str">
        <f>IFERROR(VLOOKUP(A299,'⚖️ Balance à importer'!A:D,4,FALSE) - VLOOKUP(A299,'⚖️ Balance à importer'!A:D,3,FALSE), "")</f>
        <v/>
      </c>
    </row>
    <row r="300" spans="4:4" ht="15.75" x14ac:dyDescent="0.25">
      <c r="D300" s="12" t="str">
        <f>IFERROR(VLOOKUP(A300,'⚖️ Balance à importer'!A:D,4,FALSE) - VLOOKUP(A300,'⚖️ Balance à importer'!A:D,3,FALSE), "")</f>
        <v/>
      </c>
    </row>
    <row r="301" spans="4:4" ht="15.75" x14ac:dyDescent="0.25">
      <c r="D301" s="12" t="str">
        <f>IFERROR(VLOOKUP(A301,'⚖️ Balance à importer'!A:D,4,FALSE) - VLOOKUP(A301,'⚖️ Balance à importer'!A:D,3,FALSE), "")</f>
        <v/>
      </c>
    </row>
    <row r="302" spans="4:4" ht="15.75" x14ac:dyDescent="0.25">
      <c r="D302" s="12" t="str">
        <f>IFERROR(VLOOKUP(A302,'⚖️ Balance à importer'!A:D,4,FALSE) - VLOOKUP(A302,'⚖️ Balance à importer'!A:D,3,FALSE), "")</f>
        <v/>
      </c>
    </row>
    <row r="303" spans="4:4" ht="15.75" x14ac:dyDescent="0.25">
      <c r="D303" s="12" t="str">
        <f>IFERROR(VLOOKUP(A303,'⚖️ Balance à importer'!A:D,4,FALSE) - VLOOKUP(A303,'⚖️ Balance à importer'!A:D,3,FALSE), "")</f>
        <v/>
      </c>
    </row>
    <row r="304" spans="4:4" ht="15.75" x14ac:dyDescent="0.25">
      <c r="D304" s="12" t="str">
        <f>IFERROR(VLOOKUP(A304,'⚖️ Balance à importer'!A:D,4,FALSE) - VLOOKUP(A304,'⚖️ Balance à importer'!A:D,3,FALSE), "")</f>
        <v/>
      </c>
    </row>
    <row r="305" spans="4:4" ht="15.75" x14ac:dyDescent="0.25">
      <c r="D305" s="12" t="str">
        <f>IFERROR(VLOOKUP(A305,'⚖️ Balance à importer'!A:D,4,FALSE) - VLOOKUP(A305,'⚖️ Balance à importer'!A:D,3,FALSE), "")</f>
        <v/>
      </c>
    </row>
    <row r="306" spans="4:4" ht="15.75" x14ac:dyDescent="0.25">
      <c r="D306" s="12" t="str">
        <f>IFERROR(VLOOKUP(A306,'⚖️ Balance à importer'!A:D,4,FALSE) - VLOOKUP(A306,'⚖️ Balance à importer'!A:D,3,FALSE), "")</f>
        <v/>
      </c>
    </row>
    <row r="307" spans="4:4" ht="15.75" x14ac:dyDescent="0.25">
      <c r="D307" s="12" t="str">
        <f>IFERROR(VLOOKUP(A307,'⚖️ Balance à importer'!A:D,4,FALSE) - VLOOKUP(A307,'⚖️ Balance à importer'!A:D,3,FALSE), "")</f>
        <v/>
      </c>
    </row>
    <row r="308" spans="4:4" ht="15.75" x14ac:dyDescent="0.25">
      <c r="D308" s="12" t="str">
        <f>IFERROR(VLOOKUP(A308,'⚖️ Balance à importer'!A:D,4,FALSE) - VLOOKUP(A308,'⚖️ Balance à importer'!A:D,3,FALSE), "")</f>
        <v/>
      </c>
    </row>
    <row r="309" spans="4:4" ht="15.75" x14ac:dyDescent="0.25">
      <c r="D309" s="12" t="str">
        <f>IFERROR(VLOOKUP(A309,'⚖️ Balance à importer'!A:D,4,FALSE) - VLOOKUP(A309,'⚖️ Balance à importer'!A:D,3,FALSE), "")</f>
        <v/>
      </c>
    </row>
    <row r="310" spans="4:4" ht="15.75" x14ac:dyDescent="0.25">
      <c r="D310" s="12" t="str">
        <f>IFERROR(VLOOKUP(A310,'⚖️ Balance à importer'!A:D,4,FALSE) - VLOOKUP(A310,'⚖️ Balance à importer'!A:D,3,FALSE), "")</f>
        <v/>
      </c>
    </row>
    <row r="311" spans="4:4" ht="15.75" x14ac:dyDescent="0.25">
      <c r="D311" s="12" t="str">
        <f>IFERROR(VLOOKUP(A311,'⚖️ Balance à importer'!A:D,4,FALSE) - VLOOKUP(A311,'⚖️ Balance à importer'!A:D,3,FALSE), "")</f>
        <v/>
      </c>
    </row>
    <row r="312" spans="4:4" ht="15.75" x14ac:dyDescent="0.25">
      <c r="D312" s="12" t="str">
        <f>IFERROR(VLOOKUP(A312,'⚖️ Balance à importer'!A:D,4,FALSE) - VLOOKUP(A312,'⚖️ Balance à importer'!A:D,3,FALSE), "")</f>
        <v/>
      </c>
    </row>
    <row r="313" spans="4:4" ht="15.75" x14ac:dyDescent="0.25">
      <c r="D313" s="12" t="str">
        <f>IFERROR(VLOOKUP(A313,'⚖️ Balance à importer'!A:D,4,FALSE) - VLOOKUP(A313,'⚖️ Balance à importer'!A:D,3,FALSE), "")</f>
        <v/>
      </c>
    </row>
    <row r="314" spans="4:4" ht="15.75" x14ac:dyDescent="0.25">
      <c r="D314" s="12" t="str">
        <f>IFERROR(VLOOKUP(A314,'⚖️ Balance à importer'!A:D,4,FALSE) - VLOOKUP(A314,'⚖️ Balance à importer'!A:D,3,FALSE), "")</f>
        <v/>
      </c>
    </row>
    <row r="315" spans="4:4" ht="15.75" x14ac:dyDescent="0.25">
      <c r="D315" s="12" t="str">
        <f>IFERROR(VLOOKUP(A315,'⚖️ Balance à importer'!A:D,4,FALSE) - VLOOKUP(A315,'⚖️ Balance à importer'!A:D,3,FALSE), "")</f>
        <v/>
      </c>
    </row>
    <row r="316" spans="4:4" ht="15.75" x14ac:dyDescent="0.25">
      <c r="D316" s="12" t="str">
        <f>IFERROR(VLOOKUP(A316,'⚖️ Balance à importer'!A:D,4,FALSE) - VLOOKUP(A316,'⚖️ Balance à importer'!A:D,3,FALSE), "")</f>
        <v/>
      </c>
    </row>
    <row r="317" spans="4:4" ht="15.75" x14ac:dyDescent="0.25">
      <c r="D317" s="12" t="str">
        <f>IFERROR(VLOOKUP(A317,'⚖️ Balance à importer'!A:D,4,FALSE) - VLOOKUP(A317,'⚖️ Balance à importer'!A:D,3,FALSE), "")</f>
        <v/>
      </c>
    </row>
    <row r="318" spans="4:4" ht="15.75" x14ac:dyDescent="0.25">
      <c r="D318" s="12" t="str">
        <f>IFERROR(VLOOKUP(A318,'⚖️ Balance à importer'!A:D,4,FALSE) - VLOOKUP(A318,'⚖️ Balance à importer'!A:D,3,FALSE), "")</f>
        <v/>
      </c>
    </row>
    <row r="319" spans="4:4" ht="15.75" x14ac:dyDescent="0.25">
      <c r="D319" s="12" t="str">
        <f>IFERROR(VLOOKUP(A319,'⚖️ Balance à importer'!A:D,4,FALSE) - VLOOKUP(A319,'⚖️ Balance à importer'!A:D,3,FALSE), "")</f>
        <v/>
      </c>
    </row>
    <row r="320" spans="4:4" ht="15.75" x14ac:dyDescent="0.25">
      <c r="D320" s="12" t="str">
        <f>IFERROR(VLOOKUP(A320,'⚖️ Balance à importer'!A:D,4,FALSE) - VLOOKUP(A320,'⚖️ Balance à importer'!A:D,3,FALSE), "")</f>
        <v/>
      </c>
    </row>
    <row r="321" spans="4:4" ht="15.75" x14ac:dyDescent="0.25">
      <c r="D321" s="12" t="str">
        <f>IFERROR(VLOOKUP(A321,'⚖️ Balance à importer'!A:D,4,FALSE) - VLOOKUP(A321,'⚖️ Balance à importer'!A:D,3,FALSE), "")</f>
        <v/>
      </c>
    </row>
    <row r="322" spans="4:4" ht="15.75" x14ac:dyDescent="0.25">
      <c r="D322" s="12" t="str">
        <f>IFERROR(VLOOKUP(A322,'⚖️ Balance à importer'!A:D,4,FALSE) - VLOOKUP(A322,'⚖️ Balance à importer'!A:D,3,FALSE), "")</f>
        <v/>
      </c>
    </row>
    <row r="323" spans="4:4" ht="15.75" x14ac:dyDescent="0.25">
      <c r="D323" s="12" t="str">
        <f>IFERROR(VLOOKUP(A323,'⚖️ Balance à importer'!A:D,4,FALSE) - VLOOKUP(A323,'⚖️ Balance à importer'!A:D,3,FALSE), "")</f>
        <v/>
      </c>
    </row>
    <row r="324" spans="4:4" ht="15.75" x14ac:dyDescent="0.25">
      <c r="D324" s="12" t="str">
        <f>IFERROR(VLOOKUP(A324,'⚖️ Balance à importer'!A:D,4,FALSE) - VLOOKUP(A324,'⚖️ Balance à importer'!A:D,3,FALSE), "")</f>
        <v/>
      </c>
    </row>
    <row r="325" spans="4:4" ht="15.75" x14ac:dyDescent="0.25">
      <c r="D325" s="12" t="str">
        <f>IFERROR(VLOOKUP(A325,'⚖️ Balance à importer'!A:D,4,FALSE) - VLOOKUP(A325,'⚖️ Balance à importer'!A:D,3,FALSE), "")</f>
        <v/>
      </c>
    </row>
    <row r="326" spans="4:4" ht="15.75" x14ac:dyDescent="0.25">
      <c r="D326" s="12" t="str">
        <f>IFERROR(VLOOKUP(A326,'⚖️ Balance à importer'!A:D,4,FALSE) - VLOOKUP(A326,'⚖️ Balance à importer'!A:D,3,FALSE), "")</f>
        <v/>
      </c>
    </row>
    <row r="327" spans="4:4" ht="15.75" x14ac:dyDescent="0.25">
      <c r="D327" s="12" t="str">
        <f>IFERROR(VLOOKUP(A327,'⚖️ Balance à importer'!A:D,4,FALSE) - VLOOKUP(A327,'⚖️ Balance à importer'!A:D,3,FALSE), "")</f>
        <v/>
      </c>
    </row>
    <row r="328" spans="4:4" ht="15.75" x14ac:dyDescent="0.25">
      <c r="D328" s="12" t="str">
        <f>IFERROR(VLOOKUP(A328,'⚖️ Balance à importer'!A:D,4,FALSE) - VLOOKUP(A328,'⚖️ Balance à importer'!A:D,3,FALSE), "")</f>
        <v/>
      </c>
    </row>
    <row r="329" spans="4:4" ht="15.75" x14ac:dyDescent="0.25">
      <c r="D329" s="12" t="str">
        <f>IFERROR(VLOOKUP(A329,'⚖️ Balance à importer'!A:D,4,FALSE) - VLOOKUP(A329,'⚖️ Balance à importer'!A:D,3,FALSE), "")</f>
        <v/>
      </c>
    </row>
    <row r="330" spans="4:4" ht="15.75" x14ac:dyDescent="0.25">
      <c r="D330" s="12" t="str">
        <f>IFERROR(VLOOKUP(A330,'⚖️ Balance à importer'!A:D,4,FALSE) - VLOOKUP(A330,'⚖️ Balance à importer'!A:D,3,FALSE), "")</f>
        <v/>
      </c>
    </row>
    <row r="331" spans="4:4" ht="15.75" x14ac:dyDescent="0.25">
      <c r="D331" s="12" t="str">
        <f>IFERROR(VLOOKUP(A331,'⚖️ Balance à importer'!A:D,4,FALSE) - VLOOKUP(A331,'⚖️ Balance à importer'!A:D,3,FALSE), "")</f>
        <v/>
      </c>
    </row>
    <row r="332" spans="4:4" ht="15.75" x14ac:dyDescent="0.25">
      <c r="D332" s="12" t="str">
        <f>IFERROR(VLOOKUP(A332,'⚖️ Balance à importer'!A:D,4,FALSE) - VLOOKUP(A332,'⚖️ Balance à importer'!A:D,3,FALSE), "")</f>
        <v/>
      </c>
    </row>
    <row r="333" spans="4:4" ht="15.75" x14ac:dyDescent="0.25">
      <c r="D333" s="12" t="str">
        <f>IFERROR(VLOOKUP(A333,'⚖️ Balance à importer'!A:D,4,FALSE) - VLOOKUP(A333,'⚖️ Balance à importer'!A:D,3,FALSE), "")</f>
        <v/>
      </c>
    </row>
    <row r="334" spans="4:4" ht="15.75" x14ac:dyDescent="0.25">
      <c r="D334" s="12" t="str">
        <f>IFERROR(VLOOKUP(A334,'⚖️ Balance à importer'!A:D,4,FALSE) - VLOOKUP(A334,'⚖️ Balance à importer'!A:D,3,FALSE), "")</f>
        <v/>
      </c>
    </row>
    <row r="335" spans="4:4" ht="15.75" x14ac:dyDescent="0.25">
      <c r="D335" s="12" t="str">
        <f>IFERROR(VLOOKUP(A335,'⚖️ Balance à importer'!A:D,4,FALSE) - VLOOKUP(A335,'⚖️ Balance à importer'!A:D,3,FALSE), "")</f>
        <v/>
      </c>
    </row>
    <row r="336" spans="4:4" ht="15.75" x14ac:dyDescent="0.25">
      <c r="D336" s="12" t="str">
        <f>IFERROR(VLOOKUP(A336,'⚖️ Balance à importer'!A:D,4,FALSE) - VLOOKUP(A336,'⚖️ Balance à importer'!A:D,3,FALSE), "")</f>
        <v/>
      </c>
    </row>
    <row r="337" spans="4:4" ht="15.75" x14ac:dyDescent="0.25">
      <c r="D337" s="12" t="str">
        <f>IFERROR(VLOOKUP(A337,'⚖️ Balance à importer'!A:D,4,FALSE) - VLOOKUP(A337,'⚖️ Balance à importer'!A:D,3,FALSE), "")</f>
        <v/>
      </c>
    </row>
    <row r="338" spans="4:4" ht="15.75" x14ac:dyDescent="0.25">
      <c r="D338" s="12" t="str">
        <f>IFERROR(VLOOKUP(A338,'⚖️ Balance à importer'!A:D,4,FALSE) - VLOOKUP(A338,'⚖️ Balance à importer'!A:D,3,FALSE), "")</f>
        <v/>
      </c>
    </row>
    <row r="339" spans="4:4" ht="15.75" x14ac:dyDescent="0.25">
      <c r="D339" s="12" t="str">
        <f>IFERROR(VLOOKUP(A339,'⚖️ Balance à importer'!A:D,4,FALSE) - VLOOKUP(A339,'⚖️ Balance à importer'!A:D,3,FALSE), "")</f>
        <v/>
      </c>
    </row>
    <row r="340" spans="4:4" ht="15.75" x14ac:dyDescent="0.25">
      <c r="D340" s="12" t="str">
        <f>IFERROR(VLOOKUP(A340,'⚖️ Balance à importer'!A:D,4,FALSE) - VLOOKUP(A340,'⚖️ Balance à importer'!A:D,3,FALSE), "")</f>
        <v/>
      </c>
    </row>
    <row r="341" spans="4:4" ht="15.75" x14ac:dyDescent="0.25">
      <c r="D341" s="12" t="str">
        <f>IFERROR(VLOOKUP(A341,'⚖️ Balance à importer'!A:D,4,FALSE) - VLOOKUP(A341,'⚖️ Balance à importer'!A:D,3,FALSE), "")</f>
        <v/>
      </c>
    </row>
    <row r="342" spans="4:4" ht="15.75" x14ac:dyDescent="0.25">
      <c r="D342" s="12" t="str">
        <f>IFERROR(VLOOKUP(A342,'⚖️ Balance à importer'!A:D,4,FALSE) - VLOOKUP(A342,'⚖️ Balance à importer'!A:D,3,FALSE), "")</f>
        <v/>
      </c>
    </row>
    <row r="343" spans="4:4" ht="15.75" x14ac:dyDescent="0.25">
      <c r="D343" s="12" t="str">
        <f>IFERROR(VLOOKUP(A343,'⚖️ Balance à importer'!A:D,4,FALSE) - VLOOKUP(A343,'⚖️ Balance à importer'!A:D,3,FALSE), "")</f>
        <v/>
      </c>
    </row>
    <row r="344" spans="4:4" ht="15.75" x14ac:dyDescent="0.25">
      <c r="D344" s="12" t="str">
        <f>IFERROR(VLOOKUP(A344,'⚖️ Balance à importer'!A:D,4,FALSE) - VLOOKUP(A344,'⚖️ Balance à importer'!A:D,3,FALSE), "")</f>
        <v/>
      </c>
    </row>
    <row r="345" spans="4:4" ht="15.75" x14ac:dyDescent="0.25">
      <c r="D345" s="12" t="str">
        <f>IFERROR(VLOOKUP(A345,'⚖️ Balance à importer'!A:D,4,FALSE) - VLOOKUP(A345,'⚖️ Balance à importer'!A:D,3,FALSE), "")</f>
        <v/>
      </c>
    </row>
    <row r="346" spans="4:4" ht="15.75" x14ac:dyDescent="0.25">
      <c r="D346" s="12" t="str">
        <f>IFERROR(VLOOKUP(A346,'⚖️ Balance à importer'!A:D,4,FALSE) - VLOOKUP(A346,'⚖️ Balance à importer'!A:D,3,FALSE), "")</f>
        <v/>
      </c>
    </row>
    <row r="347" spans="4:4" ht="15.75" x14ac:dyDescent="0.25">
      <c r="D347" s="12" t="str">
        <f>IFERROR(VLOOKUP(A347,'⚖️ Balance à importer'!A:D,4,FALSE) - VLOOKUP(A347,'⚖️ Balance à importer'!A:D,3,FALSE), "")</f>
        <v/>
      </c>
    </row>
    <row r="348" spans="4:4" ht="15.75" x14ac:dyDescent="0.25">
      <c r="D348" s="12" t="str">
        <f>IFERROR(VLOOKUP(A348,'⚖️ Balance à importer'!A:D,4,FALSE) - VLOOKUP(A348,'⚖️ Balance à importer'!A:D,3,FALSE), "")</f>
        <v/>
      </c>
    </row>
    <row r="349" spans="4:4" ht="15.75" x14ac:dyDescent="0.25">
      <c r="D349" s="12" t="str">
        <f>IFERROR(VLOOKUP(A349,'⚖️ Balance à importer'!A:D,4,FALSE) - VLOOKUP(A349,'⚖️ Balance à importer'!A:D,3,FALSE), "")</f>
        <v/>
      </c>
    </row>
    <row r="350" spans="4:4" ht="15.75" x14ac:dyDescent="0.25">
      <c r="D350" s="12" t="str">
        <f>IFERROR(VLOOKUP(A350,'⚖️ Balance à importer'!A:D,4,FALSE) - VLOOKUP(A350,'⚖️ Balance à importer'!A:D,3,FALSE), "")</f>
        <v/>
      </c>
    </row>
    <row r="351" spans="4:4" ht="15.75" x14ac:dyDescent="0.25">
      <c r="D351" s="12" t="str">
        <f>IFERROR(VLOOKUP(A351,'⚖️ Balance à importer'!A:D,4,FALSE) - VLOOKUP(A351,'⚖️ Balance à importer'!A:D,3,FALSE), "")</f>
        <v/>
      </c>
    </row>
    <row r="352" spans="4:4" ht="15.75" x14ac:dyDescent="0.25">
      <c r="D352" s="12" t="str">
        <f>IFERROR(VLOOKUP(A352,'⚖️ Balance à importer'!A:D,4,FALSE) - VLOOKUP(A352,'⚖️ Balance à importer'!A:D,3,FALSE), "")</f>
        <v/>
      </c>
    </row>
    <row r="353" spans="4:4" ht="15.75" x14ac:dyDescent="0.25">
      <c r="D353" s="12" t="str">
        <f>IFERROR(VLOOKUP(A353,'⚖️ Balance à importer'!A:D,4,FALSE) - VLOOKUP(A353,'⚖️ Balance à importer'!A:D,3,FALSE), "")</f>
        <v/>
      </c>
    </row>
    <row r="354" spans="4:4" ht="15.75" x14ac:dyDescent="0.25">
      <c r="D354" s="12" t="str">
        <f>IFERROR(VLOOKUP(A354,'⚖️ Balance à importer'!A:D,4,FALSE) - VLOOKUP(A354,'⚖️ Balance à importer'!A:D,3,FALSE), "")</f>
        <v/>
      </c>
    </row>
    <row r="355" spans="4:4" ht="15.75" x14ac:dyDescent="0.25">
      <c r="D355" s="12" t="str">
        <f>IFERROR(VLOOKUP(A355,'⚖️ Balance à importer'!A:D,4,FALSE) - VLOOKUP(A355,'⚖️ Balance à importer'!A:D,3,FALSE), "")</f>
        <v/>
      </c>
    </row>
    <row r="356" spans="4:4" ht="15.75" x14ac:dyDescent="0.25">
      <c r="D356" s="12" t="str">
        <f>IFERROR(VLOOKUP(A356,'⚖️ Balance à importer'!A:D,4,FALSE) - VLOOKUP(A356,'⚖️ Balance à importer'!A:D,3,FALSE), "")</f>
        <v/>
      </c>
    </row>
    <row r="357" spans="4:4" ht="15.75" x14ac:dyDescent="0.25">
      <c r="D357" s="12" t="str">
        <f>IFERROR(VLOOKUP(A357,'⚖️ Balance à importer'!A:D,4,FALSE) - VLOOKUP(A357,'⚖️ Balance à importer'!A:D,3,FALSE), "")</f>
        <v/>
      </c>
    </row>
    <row r="358" spans="4:4" ht="15.75" x14ac:dyDescent="0.25">
      <c r="D358" s="12" t="str">
        <f>IFERROR(VLOOKUP(A358,'⚖️ Balance à importer'!A:D,4,FALSE) - VLOOKUP(A358,'⚖️ Balance à importer'!A:D,3,FALSE), "")</f>
        <v/>
      </c>
    </row>
    <row r="359" spans="4:4" ht="15.75" x14ac:dyDescent="0.25">
      <c r="D359" s="12" t="str">
        <f>IFERROR(VLOOKUP(A359,'⚖️ Balance à importer'!A:D,4,FALSE) - VLOOKUP(A359,'⚖️ Balance à importer'!A:D,3,FALSE), "")</f>
        <v/>
      </c>
    </row>
    <row r="360" spans="4:4" ht="15.75" x14ac:dyDescent="0.25">
      <c r="D360" s="12" t="str">
        <f>IFERROR(VLOOKUP(A360,'⚖️ Balance à importer'!A:D,4,FALSE) - VLOOKUP(A360,'⚖️ Balance à importer'!A:D,3,FALSE), "")</f>
        <v/>
      </c>
    </row>
    <row r="361" spans="4:4" ht="15.75" x14ac:dyDescent="0.25">
      <c r="D361" s="12" t="str">
        <f>IFERROR(VLOOKUP(A361,'⚖️ Balance à importer'!A:D,4,FALSE) - VLOOKUP(A361,'⚖️ Balance à importer'!A:D,3,FALSE), "")</f>
        <v/>
      </c>
    </row>
    <row r="362" spans="4:4" ht="15.75" x14ac:dyDescent="0.25">
      <c r="D362" s="12" t="str">
        <f>IFERROR(VLOOKUP(A362,'⚖️ Balance à importer'!A:D,4,FALSE) - VLOOKUP(A362,'⚖️ Balance à importer'!A:D,3,FALSE), "")</f>
        <v/>
      </c>
    </row>
    <row r="363" spans="4:4" ht="15.75" x14ac:dyDescent="0.25">
      <c r="D363" s="12" t="str">
        <f>IFERROR(VLOOKUP(A363,'⚖️ Balance à importer'!A:D,4,FALSE) - VLOOKUP(A363,'⚖️ Balance à importer'!A:D,3,FALSE), "")</f>
        <v/>
      </c>
    </row>
    <row r="364" spans="4:4" ht="15.75" x14ac:dyDescent="0.25">
      <c r="D364" s="12" t="str">
        <f>IFERROR(VLOOKUP(A364,'⚖️ Balance à importer'!A:D,4,FALSE) - VLOOKUP(A364,'⚖️ Balance à importer'!A:D,3,FALSE), "")</f>
        <v/>
      </c>
    </row>
    <row r="365" spans="4:4" ht="15.75" x14ac:dyDescent="0.25">
      <c r="D365" s="12" t="str">
        <f>IFERROR(VLOOKUP(A365,'⚖️ Balance à importer'!A:D,4,FALSE) - VLOOKUP(A365,'⚖️ Balance à importer'!A:D,3,FALSE), "")</f>
        <v/>
      </c>
    </row>
    <row r="366" spans="4:4" ht="15.75" x14ac:dyDescent="0.25">
      <c r="D366" s="12" t="str">
        <f>IFERROR(VLOOKUP(A366,'⚖️ Balance à importer'!A:D,4,FALSE) - VLOOKUP(A366,'⚖️ Balance à importer'!A:D,3,FALSE), "")</f>
        <v/>
      </c>
    </row>
    <row r="367" spans="4:4" ht="15.75" x14ac:dyDescent="0.25">
      <c r="D367" s="12" t="str">
        <f>IFERROR(VLOOKUP(A367,'⚖️ Balance à importer'!A:D,4,FALSE) - VLOOKUP(A367,'⚖️ Balance à importer'!A:D,3,FALSE), "")</f>
        <v/>
      </c>
    </row>
    <row r="368" spans="4:4" ht="15.75" x14ac:dyDescent="0.25">
      <c r="D368" s="12" t="str">
        <f>IFERROR(VLOOKUP(A368,'⚖️ Balance à importer'!A:D,4,FALSE) - VLOOKUP(A368,'⚖️ Balance à importer'!A:D,3,FALSE), "")</f>
        <v/>
      </c>
    </row>
    <row r="369" spans="4:4" ht="15.75" x14ac:dyDescent="0.25">
      <c r="D369" s="12" t="str">
        <f>IFERROR(VLOOKUP(A369,'⚖️ Balance à importer'!A:D,4,FALSE) - VLOOKUP(A369,'⚖️ Balance à importer'!A:D,3,FALSE), "")</f>
        <v/>
      </c>
    </row>
    <row r="370" spans="4:4" ht="15.75" x14ac:dyDescent="0.25">
      <c r="D370" s="12" t="str">
        <f>IFERROR(VLOOKUP(A370,'⚖️ Balance à importer'!A:D,4,FALSE) - VLOOKUP(A370,'⚖️ Balance à importer'!A:D,3,FALSE), "")</f>
        <v/>
      </c>
    </row>
    <row r="371" spans="4:4" ht="15.75" x14ac:dyDescent="0.25">
      <c r="D371" s="12" t="str">
        <f>IFERROR(VLOOKUP(A371,'⚖️ Balance à importer'!A:D,4,FALSE) - VLOOKUP(A371,'⚖️ Balance à importer'!A:D,3,FALSE), "")</f>
        <v/>
      </c>
    </row>
    <row r="372" spans="4:4" ht="15.75" x14ac:dyDescent="0.25">
      <c r="D372" s="12" t="str">
        <f>IFERROR(VLOOKUP(A372,'⚖️ Balance à importer'!A:D,4,FALSE) - VLOOKUP(A372,'⚖️ Balance à importer'!A:D,3,FALSE), "")</f>
        <v/>
      </c>
    </row>
    <row r="373" spans="4:4" ht="15.75" x14ac:dyDescent="0.25">
      <c r="D373" s="12" t="str">
        <f>IFERROR(VLOOKUP(A373,'⚖️ Balance à importer'!A:D,4,FALSE) - VLOOKUP(A373,'⚖️ Balance à importer'!A:D,3,FALSE), "")</f>
        <v/>
      </c>
    </row>
    <row r="374" spans="4:4" ht="15.75" x14ac:dyDescent="0.25">
      <c r="D374" s="12" t="str">
        <f>IFERROR(VLOOKUP(A374,'⚖️ Balance à importer'!A:D,4,FALSE) - VLOOKUP(A374,'⚖️ Balance à importer'!A:D,3,FALSE), "")</f>
        <v/>
      </c>
    </row>
    <row r="375" spans="4:4" ht="15.75" x14ac:dyDescent="0.25">
      <c r="D375" s="12" t="str">
        <f>IFERROR(VLOOKUP(A375,'⚖️ Balance à importer'!A:D,4,FALSE) - VLOOKUP(A375,'⚖️ Balance à importer'!A:D,3,FALSE), "")</f>
        <v/>
      </c>
    </row>
    <row r="376" spans="4:4" ht="15.75" x14ac:dyDescent="0.25">
      <c r="D376" s="12" t="str">
        <f>IFERROR(VLOOKUP(A376,'⚖️ Balance à importer'!A:D,4,FALSE) - VLOOKUP(A376,'⚖️ Balance à importer'!A:D,3,FALSE), "")</f>
        <v/>
      </c>
    </row>
    <row r="377" spans="4:4" ht="15.75" x14ac:dyDescent="0.25">
      <c r="D377" s="12" t="str">
        <f>IFERROR(VLOOKUP(A377,'⚖️ Balance à importer'!A:D,4,FALSE) - VLOOKUP(A377,'⚖️ Balance à importer'!A:D,3,FALSE), "")</f>
        <v/>
      </c>
    </row>
    <row r="378" spans="4:4" ht="15.75" x14ac:dyDescent="0.25">
      <c r="D378" s="12" t="str">
        <f>IFERROR(VLOOKUP(A378,'⚖️ Balance à importer'!A:D,4,FALSE) - VLOOKUP(A378,'⚖️ Balance à importer'!A:D,3,FALSE), "")</f>
        <v/>
      </c>
    </row>
    <row r="379" spans="4:4" ht="15.75" x14ac:dyDescent="0.25">
      <c r="D379" s="12" t="str">
        <f>IFERROR(VLOOKUP(A379,'⚖️ Balance à importer'!A:D,4,FALSE) - VLOOKUP(A379,'⚖️ Balance à importer'!A:D,3,FALSE), "")</f>
        <v/>
      </c>
    </row>
    <row r="380" spans="4:4" ht="15.75" x14ac:dyDescent="0.25">
      <c r="D380" s="12" t="str">
        <f>IFERROR(VLOOKUP(A380,'⚖️ Balance à importer'!A:D,4,FALSE) - VLOOKUP(A380,'⚖️ Balance à importer'!A:D,3,FALSE), "")</f>
        <v/>
      </c>
    </row>
    <row r="381" spans="4:4" ht="15.75" x14ac:dyDescent="0.25">
      <c r="D381" s="12" t="str">
        <f>IFERROR(VLOOKUP(A381,'⚖️ Balance à importer'!A:D,4,FALSE) - VLOOKUP(A381,'⚖️ Balance à importer'!A:D,3,FALSE), "")</f>
        <v/>
      </c>
    </row>
    <row r="382" spans="4:4" ht="15.75" x14ac:dyDescent="0.25">
      <c r="D382" s="12" t="str">
        <f>IFERROR(VLOOKUP(A382,'⚖️ Balance à importer'!A:D,4,FALSE) - VLOOKUP(A382,'⚖️ Balance à importer'!A:D,3,FALSE), "")</f>
        <v/>
      </c>
    </row>
    <row r="383" spans="4:4" ht="15.75" x14ac:dyDescent="0.25">
      <c r="D383" s="12" t="str">
        <f>IFERROR(VLOOKUP(A383,'⚖️ Balance à importer'!A:D,4,FALSE) - VLOOKUP(A383,'⚖️ Balance à importer'!A:D,3,FALSE), "")</f>
        <v/>
      </c>
    </row>
    <row r="384" spans="4:4" ht="15.75" x14ac:dyDescent="0.25">
      <c r="D384" s="12" t="str">
        <f>IFERROR(VLOOKUP(A384,'⚖️ Balance à importer'!A:D,4,FALSE) - VLOOKUP(A384,'⚖️ Balance à importer'!A:D,3,FALSE), "")</f>
        <v/>
      </c>
    </row>
    <row r="385" spans="4:4" ht="15.75" x14ac:dyDescent="0.25">
      <c r="D385" s="12" t="str">
        <f>IFERROR(VLOOKUP(A385,'⚖️ Balance à importer'!A:D,4,FALSE) - VLOOKUP(A385,'⚖️ Balance à importer'!A:D,3,FALSE), "")</f>
        <v/>
      </c>
    </row>
    <row r="386" spans="4:4" ht="15.75" x14ac:dyDescent="0.25">
      <c r="D386" s="12" t="str">
        <f>IFERROR(VLOOKUP(A386,'⚖️ Balance à importer'!A:D,4,FALSE) - VLOOKUP(A386,'⚖️ Balance à importer'!A:D,3,FALSE), "")</f>
        <v/>
      </c>
    </row>
    <row r="387" spans="4:4" ht="15.75" x14ac:dyDescent="0.25">
      <c r="D387" s="12" t="str">
        <f>IFERROR(VLOOKUP(A387,'⚖️ Balance à importer'!A:D,4,FALSE) - VLOOKUP(A387,'⚖️ Balance à importer'!A:D,3,FALSE), "")</f>
        <v/>
      </c>
    </row>
    <row r="388" spans="4:4" ht="15.75" x14ac:dyDescent="0.25">
      <c r="D388" s="12" t="str">
        <f>IFERROR(VLOOKUP(A388,'⚖️ Balance à importer'!A:D,4,FALSE) - VLOOKUP(A388,'⚖️ Balance à importer'!A:D,3,FALSE), "")</f>
        <v/>
      </c>
    </row>
    <row r="389" spans="4:4" ht="15.75" x14ac:dyDescent="0.25">
      <c r="D389" s="12" t="str">
        <f>IFERROR(VLOOKUP(A389,'⚖️ Balance à importer'!A:D,4,FALSE) - VLOOKUP(A389,'⚖️ Balance à importer'!A:D,3,FALSE), "")</f>
        <v/>
      </c>
    </row>
    <row r="390" spans="4:4" ht="15.75" x14ac:dyDescent="0.25">
      <c r="D390" s="12" t="str">
        <f>IFERROR(VLOOKUP(A390,'⚖️ Balance à importer'!A:D,4,FALSE) - VLOOKUP(A390,'⚖️ Balance à importer'!A:D,3,FALSE), "")</f>
        <v/>
      </c>
    </row>
    <row r="391" spans="4:4" ht="15.75" x14ac:dyDescent="0.25">
      <c r="D391" s="12" t="str">
        <f>IFERROR(VLOOKUP(A391,'⚖️ Balance à importer'!A:D,4,FALSE) - VLOOKUP(A391,'⚖️ Balance à importer'!A:D,3,FALSE), "")</f>
        <v/>
      </c>
    </row>
    <row r="392" spans="4:4" ht="15.75" x14ac:dyDescent="0.25">
      <c r="D392" s="12" t="str">
        <f>IFERROR(VLOOKUP(A392,'⚖️ Balance à importer'!A:D,4,FALSE) - VLOOKUP(A392,'⚖️ Balance à importer'!A:D,3,FALSE), "")</f>
        <v/>
      </c>
    </row>
    <row r="393" spans="4:4" ht="15.75" x14ac:dyDescent="0.25">
      <c r="D393" s="12" t="str">
        <f>IFERROR(VLOOKUP(A393,'⚖️ Balance à importer'!A:D,4,FALSE) - VLOOKUP(A393,'⚖️ Balance à importer'!A:D,3,FALSE), "")</f>
        <v/>
      </c>
    </row>
    <row r="394" spans="4:4" ht="15.75" x14ac:dyDescent="0.25">
      <c r="D394" s="12" t="str">
        <f>IFERROR(VLOOKUP(A394,'⚖️ Balance à importer'!A:D,4,FALSE) - VLOOKUP(A394,'⚖️ Balance à importer'!A:D,3,FALSE), "")</f>
        <v/>
      </c>
    </row>
    <row r="395" spans="4:4" ht="15.75" x14ac:dyDescent="0.25">
      <c r="D395" s="12" t="str">
        <f>IFERROR(VLOOKUP(A395,'⚖️ Balance à importer'!A:D,4,FALSE) - VLOOKUP(A395,'⚖️ Balance à importer'!A:D,3,FALSE), "")</f>
        <v/>
      </c>
    </row>
    <row r="396" spans="4:4" ht="15.75" x14ac:dyDescent="0.25">
      <c r="D396" s="12" t="str">
        <f>IFERROR(VLOOKUP(A396,'⚖️ Balance à importer'!A:D,4,FALSE) - VLOOKUP(A396,'⚖️ Balance à importer'!A:D,3,FALSE), "")</f>
        <v/>
      </c>
    </row>
    <row r="397" spans="4:4" ht="15.75" x14ac:dyDescent="0.25">
      <c r="D397" s="12" t="str">
        <f>IFERROR(VLOOKUP(A397,'⚖️ Balance à importer'!A:D,4,FALSE) - VLOOKUP(A397,'⚖️ Balance à importer'!A:D,3,FALSE), "")</f>
        <v/>
      </c>
    </row>
    <row r="398" spans="4:4" ht="15.75" x14ac:dyDescent="0.25">
      <c r="D398" s="12" t="str">
        <f>IFERROR(VLOOKUP(A398,'⚖️ Balance à importer'!A:D,4,FALSE) - VLOOKUP(A398,'⚖️ Balance à importer'!A:D,3,FALSE), "")</f>
        <v/>
      </c>
    </row>
    <row r="399" spans="4:4" ht="15.75" x14ac:dyDescent="0.25">
      <c r="D399" s="12" t="str">
        <f>IFERROR(VLOOKUP(A399,'⚖️ Balance à importer'!A:D,4,FALSE) - VLOOKUP(A399,'⚖️ Balance à importer'!A:D,3,FALSE), "")</f>
        <v/>
      </c>
    </row>
    <row r="400" spans="4:4" ht="15.75" x14ac:dyDescent="0.25">
      <c r="D400" s="12" t="str">
        <f>IFERROR(VLOOKUP(A400,'⚖️ Balance à importer'!A:D,4,FALSE) - VLOOKUP(A400,'⚖️ Balance à importer'!A:D,3,FALSE), "")</f>
        <v/>
      </c>
    </row>
    <row r="401" spans="4:4" ht="15.75" x14ac:dyDescent="0.25">
      <c r="D401" s="12" t="str">
        <f>IFERROR(VLOOKUP(A401,'⚖️ Balance à importer'!A:D,4,FALSE) - VLOOKUP(A401,'⚖️ Balance à importer'!A:D,3,FALSE), "")</f>
        <v/>
      </c>
    </row>
    <row r="402" spans="4:4" ht="15.75" x14ac:dyDescent="0.25">
      <c r="D402" s="12" t="str">
        <f>IFERROR(VLOOKUP(A402,'⚖️ Balance à importer'!A:D,4,FALSE) - VLOOKUP(A402,'⚖️ Balance à importer'!A:D,3,FALSE), "")</f>
        <v/>
      </c>
    </row>
    <row r="403" spans="4:4" ht="15.75" x14ac:dyDescent="0.25">
      <c r="D403" s="12" t="str">
        <f>IFERROR(VLOOKUP(A403,'⚖️ Balance à importer'!A:D,4,FALSE) - VLOOKUP(A403,'⚖️ Balance à importer'!A:D,3,FALSE), "")</f>
        <v/>
      </c>
    </row>
    <row r="404" spans="4:4" ht="15.75" x14ac:dyDescent="0.25">
      <c r="D404" s="12" t="str">
        <f>IFERROR(VLOOKUP(A404,'⚖️ Balance à importer'!A:D,4,FALSE) - VLOOKUP(A404,'⚖️ Balance à importer'!A:D,3,FALSE), "")</f>
        <v/>
      </c>
    </row>
    <row r="405" spans="4:4" ht="15.75" x14ac:dyDescent="0.25">
      <c r="D405" s="12" t="str">
        <f>IFERROR(VLOOKUP(A405,'⚖️ Balance à importer'!A:D,4,FALSE) - VLOOKUP(A405,'⚖️ Balance à importer'!A:D,3,FALSE), "")</f>
        <v/>
      </c>
    </row>
    <row r="406" spans="4:4" ht="15.75" x14ac:dyDescent="0.25">
      <c r="D406" s="12" t="str">
        <f>IFERROR(VLOOKUP(A406,'⚖️ Balance à importer'!A:D,4,FALSE) - VLOOKUP(A406,'⚖️ Balance à importer'!A:D,3,FALSE), "")</f>
        <v/>
      </c>
    </row>
    <row r="407" spans="4:4" ht="15.75" x14ac:dyDescent="0.25">
      <c r="D407" s="12" t="str">
        <f>IFERROR(VLOOKUP(A407,'⚖️ Balance à importer'!A:D,4,FALSE) - VLOOKUP(A407,'⚖️ Balance à importer'!A:D,3,FALSE), "")</f>
        <v/>
      </c>
    </row>
    <row r="408" spans="4:4" ht="15.75" x14ac:dyDescent="0.25">
      <c r="D408" s="12" t="str">
        <f>IFERROR(VLOOKUP(A408,'⚖️ Balance à importer'!A:D,4,FALSE) - VLOOKUP(A408,'⚖️ Balance à importer'!A:D,3,FALSE), "")</f>
        <v/>
      </c>
    </row>
    <row r="409" spans="4:4" ht="15.75" x14ac:dyDescent="0.25">
      <c r="D409" s="12" t="str">
        <f>IFERROR(VLOOKUP(A409,'⚖️ Balance à importer'!A:D,4,FALSE) - VLOOKUP(A409,'⚖️ Balance à importer'!A:D,3,FALSE), "")</f>
        <v/>
      </c>
    </row>
    <row r="410" spans="4:4" ht="15.75" x14ac:dyDescent="0.25">
      <c r="D410" s="12" t="str">
        <f>IFERROR(VLOOKUP(A410,'⚖️ Balance à importer'!A:D,4,FALSE) - VLOOKUP(A410,'⚖️ Balance à importer'!A:D,3,FALSE), "")</f>
        <v/>
      </c>
    </row>
    <row r="411" spans="4:4" ht="15.75" x14ac:dyDescent="0.25">
      <c r="D411" s="12" t="str">
        <f>IFERROR(VLOOKUP(A411,'⚖️ Balance à importer'!A:D,4,FALSE) - VLOOKUP(A411,'⚖️ Balance à importer'!A:D,3,FALSE), "")</f>
        <v/>
      </c>
    </row>
    <row r="412" spans="4:4" ht="15.75" x14ac:dyDescent="0.25">
      <c r="D412" s="12" t="str">
        <f>IFERROR(VLOOKUP(A412,'⚖️ Balance à importer'!A:D,4,FALSE) - VLOOKUP(A412,'⚖️ Balance à importer'!A:D,3,FALSE), "")</f>
        <v/>
      </c>
    </row>
    <row r="413" spans="4:4" ht="15.75" x14ac:dyDescent="0.25">
      <c r="D413" s="12" t="str">
        <f>IFERROR(VLOOKUP(A413,'⚖️ Balance à importer'!A:D,4,FALSE) - VLOOKUP(A413,'⚖️ Balance à importer'!A:D,3,FALSE), "")</f>
        <v/>
      </c>
    </row>
    <row r="414" spans="4:4" ht="15.75" x14ac:dyDescent="0.25">
      <c r="D414" s="12" t="str">
        <f>IFERROR(VLOOKUP(A414,'⚖️ Balance à importer'!A:D,4,FALSE) - VLOOKUP(A414,'⚖️ Balance à importer'!A:D,3,FALSE), "")</f>
        <v/>
      </c>
    </row>
    <row r="415" spans="4:4" ht="15.75" x14ac:dyDescent="0.25">
      <c r="D415" s="12" t="str">
        <f>IFERROR(VLOOKUP(A415,'⚖️ Balance à importer'!A:D,4,FALSE) - VLOOKUP(A415,'⚖️ Balance à importer'!A:D,3,FALSE), "")</f>
        <v/>
      </c>
    </row>
    <row r="416" spans="4:4" ht="15.75" x14ac:dyDescent="0.25">
      <c r="D416" s="12" t="str">
        <f>IFERROR(VLOOKUP(A416,'⚖️ Balance à importer'!A:D,4,FALSE) - VLOOKUP(A416,'⚖️ Balance à importer'!A:D,3,FALSE), "")</f>
        <v/>
      </c>
    </row>
    <row r="417" spans="4:4" ht="15.75" x14ac:dyDescent="0.25">
      <c r="D417" s="12" t="str">
        <f>IFERROR(VLOOKUP(A417,'⚖️ Balance à importer'!A:D,4,FALSE) - VLOOKUP(A417,'⚖️ Balance à importer'!A:D,3,FALSE), "")</f>
        <v/>
      </c>
    </row>
    <row r="418" spans="4:4" ht="15.75" x14ac:dyDescent="0.25">
      <c r="D418" s="12" t="str">
        <f>IFERROR(VLOOKUP(A418,'⚖️ Balance à importer'!A:D,4,FALSE) - VLOOKUP(A418,'⚖️ Balance à importer'!A:D,3,FALSE), "")</f>
        <v/>
      </c>
    </row>
    <row r="419" spans="4:4" ht="15.75" x14ac:dyDescent="0.25">
      <c r="D419" s="12" t="str">
        <f>IFERROR(VLOOKUP(A419,'⚖️ Balance à importer'!A:D,4,FALSE) - VLOOKUP(A419,'⚖️ Balance à importer'!A:D,3,FALSE), "")</f>
        <v/>
      </c>
    </row>
    <row r="420" spans="4:4" ht="15.75" x14ac:dyDescent="0.25">
      <c r="D420" s="12" t="str">
        <f>IFERROR(VLOOKUP(A420,'⚖️ Balance à importer'!A:D,4,FALSE) - VLOOKUP(A420,'⚖️ Balance à importer'!A:D,3,FALSE), "")</f>
        <v/>
      </c>
    </row>
    <row r="421" spans="4:4" ht="15.75" x14ac:dyDescent="0.25">
      <c r="D421" s="12" t="str">
        <f>IFERROR(VLOOKUP(A421,'⚖️ Balance à importer'!A:D,4,FALSE) - VLOOKUP(A421,'⚖️ Balance à importer'!A:D,3,FALSE), "")</f>
        <v/>
      </c>
    </row>
    <row r="422" spans="4:4" ht="15.75" x14ac:dyDescent="0.25">
      <c r="D422" s="12" t="str">
        <f>IFERROR(VLOOKUP(A422,'⚖️ Balance à importer'!A:D,4,FALSE) - VLOOKUP(A422,'⚖️ Balance à importer'!A:D,3,FALSE), "")</f>
        <v/>
      </c>
    </row>
    <row r="423" spans="4:4" ht="15.75" x14ac:dyDescent="0.25">
      <c r="D423" s="12" t="str">
        <f>IFERROR(VLOOKUP(A423,'⚖️ Balance à importer'!A:D,4,FALSE) - VLOOKUP(A423,'⚖️ Balance à importer'!A:D,3,FALSE), "")</f>
        <v/>
      </c>
    </row>
    <row r="424" spans="4:4" ht="15.75" x14ac:dyDescent="0.25">
      <c r="D424" s="12" t="str">
        <f>IFERROR(VLOOKUP(A424,'⚖️ Balance à importer'!A:D,4,FALSE) - VLOOKUP(A424,'⚖️ Balance à importer'!A:D,3,FALSE), "")</f>
        <v/>
      </c>
    </row>
    <row r="425" spans="4:4" ht="15.75" x14ac:dyDescent="0.25">
      <c r="D425" s="12" t="str">
        <f>IFERROR(VLOOKUP(A425,'⚖️ Balance à importer'!A:D,4,FALSE) - VLOOKUP(A425,'⚖️ Balance à importer'!A:D,3,FALSE), "")</f>
        <v/>
      </c>
    </row>
    <row r="426" spans="4:4" ht="15.75" x14ac:dyDescent="0.25">
      <c r="D426" s="12" t="str">
        <f>IFERROR(VLOOKUP(A426,'⚖️ Balance à importer'!A:D,4,FALSE) - VLOOKUP(A426,'⚖️ Balance à importer'!A:D,3,FALSE), "")</f>
        <v/>
      </c>
    </row>
    <row r="427" spans="4:4" ht="15.75" x14ac:dyDescent="0.25">
      <c r="D427" s="12" t="str">
        <f>IFERROR(VLOOKUP(A427,'⚖️ Balance à importer'!A:D,4,FALSE) - VLOOKUP(A427,'⚖️ Balance à importer'!A:D,3,FALSE), "")</f>
        <v/>
      </c>
    </row>
    <row r="428" spans="4:4" ht="15.75" x14ac:dyDescent="0.25">
      <c r="D428" s="12" t="str">
        <f>IFERROR(VLOOKUP(A428,'⚖️ Balance à importer'!A:D,4,FALSE) - VLOOKUP(A428,'⚖️ Balance à importer'!A:D,3,FALSE), "")</f>
        <v/>
      </c>
    </row>
    <row r="429" spans="4:4" ht="15.75" x14ac:dyDescent="0.25">
      <c r="D429" s="12" t="str">
        <f>IFERROR(VLOOKUP(A429,'⚖️ Balance à importer'!A:D,4,FALSE) - VLOOKUP(A429,'⚖️ Balance à importer'!A:D,3,FALSE), "")</f>
        <v/>
      </c>
    </row>
    <row r="430" spans="4:4" ht="15.75" x14ac:dyDescent="0.25">
      <c r="D430" s="12" t="str">
        <f>IFERROR(VLOOKUP(A430,'⚖️ Balance à importer'!A:D,4,FALSE) - VLOOKUP(A430,'⚖️ Balance à importer'!A:D,3,FALSE), "")</f>
        <v/>
      </c>
    </row>
    <row r="431" spans="4:4" ht="15.75" x14ac:dyDescent="0.25">
      <c r="D431" s="12" t="str">
        <f>IFERROR(VLOOKUP(A431,'⚖️ Balance à importer'!A:D,4,FALSE) - VLOOKUP(A431,'⚖️ Balance à importer'!A:D,3,FALSE), "")</f>
        <v/>
      </c>
    </row>
    <row r="432" spans="4:4" ht="15.75" x14ac:dyDescent="0.25">
      <c r="D432" s="12" t="str">
        <f>IFERROR(VLOOKUP(A432,'⚖️ Balance à importer'!A:D,4,FALSE) - VLOOKUP(A432,'⚖️ Balance à importer'!A:D,3,FALSE), "")</f>
        <v/>
      </c>
    </row>
    <row r="433" spans="4:4" ht="15.75" x14ac:dyDescent="0.25">
      <c r="D433" s="12" t="str">
        <f>IFERROR(VLOOKUP(A433,'⚖️ Balance à importer'!A:D,4,FALSE) - VLOOKUP(A433,'⚖️ Balance à importer'!A:D,3,FALSE), "")</f>
        <v/>
      </c>
    </row>
    <row r="434" spans="4:4" ht="15.75" x14ac:dyDescent="0.25">
      <c r="D434" s="12" t="str">
        <f>IFERROR(VLOOKUP(A434,'⚖️ Balance à importer'!A:D,4,FALSE) - VLOOKUP(A434,'⚖️ Balance à importer'!A:D,3,FALSE), "")</f>
        <v/>
      </c>
    </row>
    <row r="435" spans="4:4" ht="15.75" x14ac:dyDescent="0.25">
      <c r="D435" s="12" t="str">
        <f>IFERROR(VLOOKUP(A435,'⚖️ Balance à importer'!A:D,4,FALSE) - VLOOKUP(A435,'⚖️ Balance à importer'!A:D,3,FALSE), "")</f>
        <v/>
      </c>
    </row>
    <row r="436" spans="4:4" ht="15.75" x14ac:dyDescent="0.25">
      <c r="D436" s="12" t="str">
        <f>IFERROR(VLOOKUP(A436,'⚖️ Balance à importer'!A:D,4,FALSE) - VLOOKUP(A436,'⚖️ Balance à importer'!A:D,3,FALSE), "")</f>
        <v/>
      </c>
    </row>
    <row r="437" spans="4:4" ht="15.75" x14ac:dyDescent="0.25">
      <c r="D437" s="12" t="str">
        <f>IFERROR(VLOOKUP(A437,'⚖️ Balance à importer'!A:D,4,FALSE) - VLOOKUP(A437,'⚖️ Balance à importer'!A:D,3,FALSE), "")</f>
        <v/>
      </c>
    </row>
    <row r="438" spans="4:4" ht="15.75" x14ac:dyDescent="0.25">
      <c r="D438" s="12" t="str">
        <f>IFERROR(VLOOKUP(A438,'⚖️ Balance à importer'!A:D,4,FALSE) - VLOOKUP(A438,'⚖️ Balance à importer'!A:D,3,FALSE), "")</f>
        <v/>
      </c>
    </row>
    <row r="439" spans="4:4" ht="15.75" x14ac:dyDescent="0.25">
      <c r="D439" s="12" t="str">
        <f>IFERROR(VLOOKUP(A439,'⚖️ Balance à importer'!A:D,4,FALSE) - VLOOKUP(A439,'⚖️ Balance à importer'!A:D,3,FALSE), "")</f>
        <v/>
      </c>
    </row>
    <row r="440" spans="4:4" ht="15.75" x14ac:dyDescent="0.25">
      <c r="D440" s="12" t="str">
        <f>IFERROR(VLOOKUP(A440,'⚖️ Balance à importer'!A:D,4,FALSE) - VLOOKUP(A440,'⚖️ Balance à importer'!A:D,3,FALSE), "")</f>
        <v/>
      </c>
    </row>
    <row r="441" spans="4:4" ht="15.75" x14ac:dyDescent="0.25">
      <c r="D441" s="12" t="str">
        <f>IFERROR(VLOOKUP(A441,'⚖️ Balance à importer'!A:D,4,FALSE) - VLOOKUP(A441,'⚖️ Balance à importer'!A:D,3,FALSE), "")</f>
        <v/>
      </c>
    </row>
    <row r="442" spans="4:4" ht="15.75" x14ac:dyDescent="0.25">
      <c r="D442" s="12" t="str">
        <f>IFERROR(VLOOKUP(A442,'⚖️ Balance à importer'!A:D,4,FALSE) - VLOOKUP(A442,'⚖️ Balance à importer'!A:D,3,FALSE), "")</f>
        <v/>
      </c>
    </row>
    <row r="443" spans="4:4" ht="15.75" x14ac:dyDescent="0.25">
      <c r="D443" s="12" t="str">
        <f>IFERROR(VLOOKUP(A443,'⚖️ Balance à importer'!A:D,4,FALSE) - VLOOKUP(A443,'⚖️ Balance à importer'!A:D,3,FALSE), "")</f>
        <v/>
      </c>
    </row>
    <row r="444" spans="4:4" ht="15.75" x14ac:dyDescent="0.25">
      <c r="D444" s="12" t="str">
        <f>IFERROR(VLOOKUP(A444,'⚖️ Balance à importer'!A:D,4,FALSE) - VLOOKUP(A444,'⚖️ Balance à importer'!A:D,3,FALSE), "")</f>
        <v/>
      </c>
    </row>
    <row r="445" spans="4:4" ht="15.75" x14ac:dyDescent="0.25">
      <c r="D445" s="12" t="str">
        <f>IFERROR(VLOOKUP(A445,'⚖️ Balance à importer'!A:D,4,FALSE) - VLOOKUP(A445,'⚖️ Balance à importer'!A:D,3,FALSE), "")</f>
        <v/>
      </c>
    </row>
    <row r="446" spans="4:4" ht="15.75" x14ac:dyDescent="0.25">
      <c r="D446" s="12" t="str">
        <f>IFERROR(VLOOKUP(A446,'⚖️ Balance à importer'!A:D,4,FALSE) - VLOOKUP(A446,'⚖️ Balance à importer'!A:D,3,FALSE), "")</f>
        <v/>
      </c>
    </row>
    <row r="447" spans="4:4" ht="15.75" x14ac:dyDescent="0.25">
      <c r="D447" s="12" t="str">
        <f>IFERROR(VLOOKUP(A447,'⚖️ Balance à importer'!A:D,4,FALSE) - VLOOKUP(A447,'⚖️ Balance à importer'!A:D,3,FALSE), "")</f>
        <v/>
      </c>
    </row>
    <row r="448" spans="4:4" ht="15.75" x14ac:dyDescent="0.25">
      <c r="D448" s="12" t="str">
        <f>IFERROR(VLOOKUP(A448,'⚖️ Balance à importer'!A:D,4,FALSE) - VLOOKUP(A448,'⚖️ Balance à importer'!A:D,3,FALSE), "")</f>
        <v/>
      </c>
    </row>
    <row r="449" spans="4:4" ht="15.75" x14ac:dyDescent="0.25">
      <c r="D449" s="12" t="str">
        <f>IFERROR(VLOOKUP(A449,'⚖️ Balance à importer'!A:D,4,FALSE) - VLOOKUP(A449,'⚖️ Balance à importer'!A:D,3,FALSE), "")</f>
        <v/>
      </c>
    </row>
    <row r="450" spans="4:4" ht="15.75" x14ac:dyDescent="0.25">
      <c r="D450" s="12" t="str">
        <f>IFERROR(VLOOKUP(A450,'⚖️ Balance à importer'!A:D,4,FALSE) - VLOOKUP(A450,'⚖️ Balance à importer'!A:D,3,FALSE), "")</f>
        <v/>
      </c>
    </row>
    <row r="451" spans="4:4" ht="15.75" x14ac:dyDescent="0.25">
      <c r="D451" s="12" t="str">
        <f>IFERROR(VLOOKUP(A451,'⚖️ Balance à importer'!A:D,4,FALSE) - VLOOKUP(A451,'⚖️ Balance à importer'!A:D,3,FALSE), "")</f>
        <v/>
      </c>
    </row>
    <row r="452" spans="4:4" ht="15.75" x14ac:dyDescent="0.25">
      <c r="D452" s="12" t="str">
        <f>IFERROR(VLOOKUP(A452,'⚖️ Balance à importer'!A:D,4,FALSE) - VLOOKUP(A452,'⚖️ Balance à importer'!A:D,3,FALSE), "")</f>
        <v/>
      </c>
    </row>
    <row r="453" spans="4:4" ht="15.75" x14ac:dyDescent="0.25">
      <c r="D453" s="12" t="str">
        <f>IFERROR(VLOOKUP(A453,'⚖️ Balance à importer'!A:D,4,FALSE) - VLOOKUP(A453,'⚖️ Balance à importer'!A:D,3,FALSE), "")</f>
        <v/>
      </c>
    </row>
    <row r="454" spans="4:4" ht="15.75" x14ac:dyDescent="0.25">
      <c r="D454" s="12" t="str">
        <f>IFERROR(VLOOKUP(A454,'⚖️ Balance à importer'!A:D,4,FALSE) - VLOOKUP(A454,'⚖️ Balance à importer'!A:D,3,FALSE), "")</f>
        <v/>
      </c>
    </row>
    <row r="455" spans="4:4" ht="15.75" x14ac:dyDescent="0.25">
      <c r="D455" s="12" t="str">
        <f>IFERROR(VLOOKUP(A455,'⚖️ Balance à importer'!A:D,4,FALSE) - VLOOKUP(A455,'⚖️ Balance à importer'!A:D,3,FALSE), "")</f>
        <v/>
      </c>
    </row>
    <row r="456" spans="4:4" ht="15.75" x14ac:dyDescent="0.25">
      <c r="D456" s="12" t="str">
        <f>IFERROR(VLOOKUP(A456,'⚖️ Balance à importer'!A:D,4,FALSE) - VLOOKUP(A456,'⚖️ Balance à importer'!A:D,3,FALSE), "")</f>
        <v/>
      </c>
    </row>
    <row r="457" spans="4:4" ht="15.75" x14ac:dyDescent="0.25">
      <c r="D457" s="12" t="str">
        <f>IFERROR(VLOOKUP(A457,'⚖️ Balance à importer'!A:D,4,FALSE) - VLOOKUP(A457,'⚖️ Balance à importer'!A:D,3,FALSE), "")</f>
        <v/>
      </c>
    </row>
    <row r="458" spans="4:4" ht="15.75" x14ac:dyDescent="0.25">
      <c r="D458" s="12" t="str">
        <f>IFERROR(VLOOKUP(A458,'⚖️ Balance à importer'!A:D,4,FALSE) - VLOOKUP(A458,'⚖️ Balance à importer'!A:D,3,FALSE), "")</f>
        <v/>
      </c>
    </row>
    <row r="459" spans="4:4" ht="15.75" x14ac:dyDescent="0.25">
      <c r="D459" s="12" t="str">
        <f>IFERROR(VLOOKUP(A459,'⚖️ Balance à importer'!A:D,4,FALSE) - VLOOKUP(A459,'⚖️ Balance à importer'!A:D,3,FALSE), "")</f>
        <v/>
      </c>
    </row>
    <row r="460" spans="4:4" ht="15.75" x14ac:dyDescent="0.25">
      <c r="D460" s="12" t="str">
        <f>IFERROR(VLOOKUP(A460,'⚖️ Balance à importer'!A:D,4,FALSE) - VLOOKUP(A460,'⚖️ Balance à importer'!A:D,3,FALSE), "")</f>
        <v/>
      </c>
    </row>
    <row r="461" spans="4:4" ht="15.75" x14ac:dyDescent="0.25">
      <c r="D461" s="12" t="str">
        <f>IFERROR(VLOOKUP(A461,'⚖️ Balance à importer'!A:D,4,FALSE) - VLOOKUP(A461,'⚖️ Balance à importer'!A:D,3,FALSE), "")</f>
        <v/>
      </c>
    </row>
    <row r="462" spans="4:4" ht="15.75" x14ac:dyDescent="0.25">
      <c r="D462" s="12" t="str">
        <f>IFERROR(VLOOKUP(A462,'⚖️ Balance à importer'!A:D,4,FALSE) - VLOOKUP(A462,'⚖️ Balance à importer'!A:D,3,FALSE), "")</f>
        <v/>
      </c>
    </row>
    <row r="463" spans="4:4" ht="15.75" x14ac:dyDescent="0.25">
      <c r="D463" s="12" t="str">
        <f>IFERROR(VLOOKUP(A463,'⚖️ Balance à importer'!A:D,4,FALSE) - VLOOKUP(A463,'⚖️ Balance à importer'!A:D,3,FALSE), "")</f>
        <v/>
      </c>
    </row>
    <row r="464" spans="4:4" ht="15.75" x14ac:dyDescent="0.25">
      <c r="D464" s="12" t="str">
        <f>IFERROR(VLOOKUP(A464,'⚖️ Balance à importer'!A:D,4,FALSE) - VLOOKUP(A464,'⚖️ Balance à importer'!A:D,3,FALSE), "")</f>
        <v/>
      </c>
    </row>
    <row r="465" spans="4:4" ht="15.75" x14ac:dyDescent="0.25">
      <c r="D465" s="12" t="str">
        <f>IFERROR(VLOOKUP(A465,'⚖️ Balance à importer'!A:D,4,FALSE) - VLOOKUP(A465,'⚖️ Balance à importer'!A:D,3,FALSE), "")</f>
        <v/>
      </c>
    </row>
    <row r="466" spans="4:4" ht="15.75" x14ac:dyDescent="0.25">
      <c r="D466" s="12" t="str">
        <f>IFERROR(VLOOKUP(A466,'⚖️ Balance à importer'!A:D,4,FALSE) - VLOOKUP(A466,'⚖️ Balance à importer'!A:D,3,FALSE), "")</f>
        <v/>
      </c>
    </row>
    <row r="467" spans="4:4" ht="15.75" x14ac:dyDescent="0.25">
      <c r="D467" s="12" t="str">
        <f>IFERROR(VLOOKUP(A467,'⚖️ Balance à importer'!A:D,4,FALSE) - VLOOKUP(A467,'⚖️ Balance à importer'!A:D,3,FALSE), "")</f>
        <v/>
      </c>
    </row>
    <row r="468" spans="4:4" ht="15.75" x14ac:dyDescent="0.25">
      <c r="D468" s="12" t="str">
        <f>IFERROR(VLOOKUP(A468,'⚖️ Balance à importer'!A:D,4,FALSE) - VLOOKUP(A468,'⚖️ Balance à importer'!A:D,3,FALSE), "")</f>
        <v/>
      </c>
    </row>
    <row r="469" spans="4:4" ht="15.75" x14ac:dyDescent="0.25">
      <c r="D469" s="12" t="str">
        <f>IFERROR(VLOOKUP(A469,'⚖️ Balance à importer'!A:D,4,FALSE) - VLOOKUP(A469,'⚖️ Balance à importer'!A:D,3,FALSE), "")</f>
        <v/>
      </c>
    </row>
    <row r="470" spans="4:4" ht="15.75" x14ac:dyDescent="0.25">
      <c r="D470" s="12" t="str">
        <f>IFERROR(VLOOKUP(A470,'⚖️ Balance à importer'!A:D,4,FALSE) - VLOOKUP(A470,'⚖️ Balance à importer'!A:D,3,FALSE), "")</f>
        <v/>
      </c>
    </row>
    <row r="471" spans="4:4" ht="15.75" x14ac:dyDescent="0.25">
      <c r="D471" s="12" t="str">
        <f>IFERROR(VLOOKUP(A471,'⚖️ Balance à importer'!A:D,4,FALSE) - VLOOKUP(A471,'⚖️ Balance à importer'!A:D,3,FALSE), "")</f>
        <v/>
      </c>
    </row>
    <row r="472" spans="4:4" ht="15.75" x14ac:dyDescent="0.25">
      <c r="D472" s="12" t="str">
        <f>IFERROR(VLOOKUP(A472,'⚖️ Balance à importer'!A:D,4,FALSE) - VLOOKUP(A472,'⚖️ Balance à importer'!A:D,3,FALSE), "")</f>
        <v/>
      </c>
    </row>
    <row r="473" spans="4:4" ht="15.75" x14ac:dyDescent="0.25">
      <c r="D473" s="12" t="str">
        <f>IFERROR(VLOOKUP(A473,'⚖️ Balance à importer'!A:D,4,FALSE) - VLOOKUP(A473,'⚖️ Balance à importer'!A:D,3,FALSE), "")</f>
        <v/>
      </c>
    </row>
    <row r="474" spans="4:4" ht="15.75" x14ac:dyDescent="0.25">
      <c r="D474" s="12" t="str">
        <f>IFERROR(VLOOKUP(A474,'⚖️ Balance à importer'!A:D,4,FALSE) - VLOOKUP(A474,'⚖️ Balance à importer'!A:D,3,FALSE), "")</f>
        <v/>
      </c>
    </row>
    <row r="475" spans="4:4" ht="15.75" x14ac:dyDescent="0.25">
      <c r="D475" s="12" t="str">
        <f>IFERROR(VLOOKUP(A475,'⚖️ Balance à importer'!A:D,4,FALSE) - VLOOKUP(A475,'⚖️ Balance à importer'!A:D,3,FALSE), "")</f>
        <v/>
      </c>
    </row>
    <row r="476" spans="4:4" ht="15.75" x14ac:dyDescent="0.25">
      <c r="D476" s="12" t="str">
        <f>IFERROR(VLOOKUP(A476,'⚖️ Balance à importer'!A:D,4,FALSE) - VLOOKUP(A476,'⚖️ Balance à importer'!A:D,3,FALSE), "")</f>
        <v/>
      </c>
    </row>
    <row r="477" spans="4:4" ht="15.75" x14ac:dyDescent="0.25">
      <c r="D477" s="12" t="str">
        <f>IFERROR(VLOOKUP(A477,'⚖️ Balance à importer'!A:D,4,FALSE) - VLOOKUP(A477,'⚖️ Balance à importer'!A:D,3,FALSE), "")</f>
        <v/>
      </c>
    </row>
    <row r="478" spans="4:4" ht="15.75" x14ac:dyDescent="0.25">
      <c r="D478" s="12" t="str">
        <f>IFERROR(VLOOKUP(A478,'⚖️ Balance à importer'!A:D,4,FALSE) - VLOOKUP(A478,'⚖️ Balance à importer'!A:D,3,FALSE), "")</f>
        <v/>
      </c>
    </row>
    <row r="479" spans="4:4" ht="15.75" x14ac:dyDescent="0.25">
      <c r="D479" s="12" t="str">
        <f>IFERROR(VLOOKUP(A479,'⚖️ Balance à importer'!A:D,4,FALSE) - VLOOKUP(A479,'⚖️ Balance à importer'!A:D,3,FALSE), "")</f>
        <v/>
      </c>
    </row>
    <row r="480" spans="4:4" ht="15.75" x14ac:dyDescent="0.25">
      <c r="D480" s="12" t="str">
        <f>IFERROR(VLOOKUP(A480,'⚖️ Balance à importer'!A:D,4,FALSE) - VLOOKUP(A480,'⚖️ Balance à importer'!A:D,3,FALSE), "")</f>
        <v/>
      </c>
    </row>
    <row r="481" spans="4:4" ht="15.75" x14ac:dyDescent="0.25">
      <c r="D481" s="12" t="str">
        <f>IFERROR(VLOOKUP(A481,'⚖️ Balance à importer'!A:D,4,FALSE) - VLOOKUP(A481,'⚖️ Balance à importer'!A:D,3,FALSE), "")</f>
        <v/>
      </c>
    </row>
    <row r="482" spans="4:4" ht="15.75" x14ac:dyDescent="0.25">
      <c r="D482" s="12" t="str">
        <f>IFERROR(VLOOKUP(A482,'⚖️ Balance à importer'!A:D,4,FALSE) - VLOOKUP(A482,'⚖️ Balance à importer'!A:D,3,FALSE), "")</f>
        <v/>
      </c>
    </row>
    <row r="483" spans="4:4" ht="15.75" x14ac:dyDescent="0.25">
      <c r="D483" s="12" t="str">
        <f>IFERROR(VLOOKUP(A483,'⚖️ Balance à importer'!A:D,4,FALSE) - VLOOKUP(A483,'⚖️ Balance à importer'!A:D,3,FALSE), "")</f>
        <v/>
      </c>
    </row>
    <row r="484" spans="4:4" ht="15.75" x14ac:dyDescent="0.25">
      <c r="D484" s="12" t="str">
        <f>IFERROR(VLOOKUP(A484,'⚖️ Balance à importer'!A:D,4,FALSE) - VLOOKUP(A484,'⚖️ Balance à importer'!A:D,3,FALSE), "")</f>
        <v/>
      </c>
    </row>
    <row r="485" spans="4:4" ht="15.75" x14ac:dyDescent="0.25">
      <c r="D485" s="12" t="str">
        <f>IFERROR(VLOOKUP(A485,'⚖️ Balance à importer'!A:D,4,FALSE) - VLOOKUP(A485,'⚖️ Balance à importer'!A:D,3,FALSE), "")</f>
        <v/>
      </c>
    </row>
    <row r="486" spans="4:4" ht="15.75" x14ac:dyDescent="0.25">
      <c r="D486" s="12" t="str">
        <f>IFERROR(VLOOKUP(A486,'⚖️ Balance à importer'!A:D,4,FALSE) - VLOOKUP(A486,'⚖️ Balance à importer'!A:D,3,FALSE), "")</f>
        <v/>
      </c>
    </row>
    <row r="487" spans="4:4" ht="15.75" x14ac:dyDescent="0.25">
      <c r="D487" s="12" t="str">
        <f>IFERROR(VLOOKUP(A487,'⚖️ Balance à importer'!A:D,4,FALSE) - VLOOKUP(A487,'⚖️ Balance à importer'!A:D,3,FALSE), "")</f>
        <v/>
      </c>
    </row>
    <row r="488" spans="4:4" ht="15.75" x14ac:dyDescent="0.25">
      <c r="D488" s="12" t="str">
        <f>IFERROR(VLOOKUP(A488,'⚖️ Balance à importer'!A:D,4,FALSE) - VLOOKUP(A488,'⚖️ Balance à importer'!A:D,3,FALSE), "")</f>
        <v/>
      </c>
    </row>
    <row r="489" spans="4:4" ht="15.75" x14ac:dyDescent="0.25">
      <c r="D489" s="12" t="str">
        <f>IFERROR(VLOOKUP(A489,'⚖️ Balance à importer'!A:D,4,FALSE) - VLOOKUP(A489,'⚖️ Balance à importer'!A:D,3,FALSE), "")</f>
        <v/>
      </c>
    </row>
    <row r="490" spans="4:4" ht="15.75" x14ac:dyDescent="0.25">
      <c r="D490" s="12" t="str">
        <f>IFERROR(VLOOKUP(A490,'⚖️ Balance à importer'!A:D,4,FALSE) - VLOOKUP(A490,'⚖️ Balance à importer'!A:D,3,FALSE), "")</f>
        <v/>
      </c>
    </row>
    <row r="491" spans="4:4" ht="15.75" x14ac:dyDescent="0.25">
      <c r="D491" s="12" t="str">
        <f>IFERROR(VLOOKUP(A491,'⚖️ Balance à importer'!A:D,4,FALSE) - VLOOKUP(A491,'⚖️ Balance à importer'!A:D,3,FALSE), "")</f>
        <v/>
      </c>
    </row>
    <row r="492" spans="4:4" ht="15.75" x14ac:dyDescent="0.25">
      <c r="D492" s="12" t="str">
        <f>IFERROR(VLOOKUP(A492,'⚖️ Balance à importer'!A:D,4,FALSE) - VLOOKUP(A492,'⚖️ Balance à importer'!A:D,3,FALSE), "")</f>
        <v/>
      </c>
    </row>
    <row r="493" spans="4:4" ht="15.75" x14ac:dyDescent="0.25">
      <c r="D493" s="12" t="str">
        <f>IFERROR(VLOOKUP(A493,'⚖️ Balance à importer'!A:D,4,FALSE) - VLOOKUP(A493,'⚖️ Balance à importer'!A:D,3,FALSE), "")</f>
        <v/>
      </c>
    </row>
    <row r="494" spans="4:4" ht="15.75" x14ac:dyDescent="0.25">
      <c r="D494" s="12" t="str">
        <f>IFERROR(VLOOKUP(A494,'⚖️ Balance à importer'!A:D,4,FALSE) - VLOOKUP(A494,'⚖️ Balance à importer'!A:D,3,FALSE), "")</f>
        <v/>
      </c>
    </row>
    <row r="495" spans="4:4" ht="15.75" x14ac:dyDescent="0.25">
      <c r="D495" s="12" t="str">
        <f>IFERROR(VLOOKUP(A495,'⚖️ Balance à importer'!A:D,4,FALSE) - VLOOKUP(A495,'⚖️ Balance à importer'!A:D,3,FALSE), "")</f>
        <v/>
      </c>
    </row>
    <row r="496" spans="4:4" ht="15.75" x14ac:dyDescent="0.25">
      <c r="D496" s="12" t="str">
        <f>IFERROR(VLOOKUP(A496,'⚖️ Balance à importer'!A:D,4,FALSE) - VLOOKUP(A496,'⚖️ Balance à importer'!A:D,3,FALSE), "")</f>
        <v/>
      </c>
    </row>
    <row r="497" spans="4:4" ht="15.75" x14ac:dyDescent="0.25">
      <c r="D497" s="12" t="str">
        <f>IFERROR(VLOOKUP(A497,'⚖️ Balance à importer'!A:D,4,FALSE) - VLOOKUP(A497,'⚖️ Balance à importer'!A:D,3,FALSE), "")</f>
        <v/>
      </c>
    </row>
    <row r="498" spans="4:4" ht="15.75" x14ac:dyDescent="0.25">
      <c r="D498" s="12" t="str">
        <f>IFERROR(VLOOKUP(A498,'⚖️ Balance à importer'!A:D,4,FALSE) - VLOOKUP(A498,'⚖️ Balance à importer'!A:D,3,FALSE), "")</f>
        <v/>
      </c>
    </row>
    <row r="499" spans="4:4" ht="15.75" x14ac:dyDescent="0.25">
      <c r="D499" s="12" t="str">
        <f>IFERROR(VLOOKUP(A499,'⚖️ Balance à importer'!A:D,4,FALSE) - VLOOKUP(A499,'⚖️ Balance à importer'!A:D,3,FALSE), "")</f>
        <v/>
      </c>
    </row>
    <row r="500" spans="4:4" ht="15.75" x14ac:dyDescent="0.25">
      <c r="D500" s="12" t="str">
        <f>IFERROR(VLOOKUP(A500,'⚖️ Balance à importer'!A:D,4,FALSE) - VLOOKUP(A500,'⚖️ Balance à importer'!A:D,3,FALSE), "")</f>
        <v/>
      </c>
    </row>
    <row r="501" spans="4:4" ht="15.75" x14ac:dyDescent="0.25">
      <c r="D501" s="12" t="str">
        <f>IFERROR(VLOOKUP(A501,'⚖️ Balance à importer'!A:D,4,FALSE) - VLOOKUP(A501,'⚖️ Balance à importer'!A:D,3,FALSE), "")</f>
        <v/>
      </c>
    </row>
    <row r="502" spans="4:4" ht="15.75" x14ac:dyDescent="0.25">
      <c r="D502" s="12" t="str">
        <f>IFERROR(VLOOKUP(A502,'⚖️ Balance à importer'!A:D,4,FALSE) - VLOOKUP(A502,'⚖️ Balance à importer'!A:D,3,FALSE), "")</f>
        <v/>
      </c>
    </row>
    <row r="503" spans="4:4" ht="15.75" x14ac:dyDescent="0.25">
      <c r="D503" s="12" t="str">
        <f>IFERROR(VLOOKUP(A503,'⚖️ Balance à importer'!A:D,4,FALSE) - VLOOKUP(A503,'⚖️ Balance à importer'!A:D,3,FALSE), "")</f>
        <v/>
      </c>
    </row>
    <row r="504" spans="4:4" ht="15.75" x14ac:dyDescent="0.25">
      <c r="D504" s="12" t="str">
        <f>IFERROR(VLOOKUP(A504,'⚖️ Balance à importer'!A:D,4,FALSE) - VLOOKUP(A504,'⚖️ Balance à importer'!A:D,3,FALSE), "")</f>
        <v/>
      </c>
    </row>
    <row r="505" spans="4:4" ht="15.75" x14ac:dyDescent="0.25">
      <c r="D505" s="12" t="str">
        <f>IFERROR(VLOOKUP(A505,'⚖️ Balance à importer'!A:D,4,FALSE) - VLOOKUP(A505,'⚖️ Balance à importer'!A:D,3,FALSE), "")</f>
        <v/>
      </c>
    </row>
    <row r="506" spans="4:4" ht="15.75" x14ac:dyDescent="0.25">
      <c r="D506" s="12" t="str">
        <f>IFERROR(VLOOKUP(A506,'⚖️ Balance à importer'!A:D,4,FALSE) - VLOOKUP(A506,'⚖️ Balance à importer'!A:D,3,FALSE), "")</f>
        <v/>
      </c>
    </row>
    <row r="507" spans="4:4" ht="15.75" x14ac:dyDescent="0.25">
      <c r="D507" s="12" t="str">
        <f>IFERROR(VLOOKUP(A507,'⚖️ Balance à importer'!A:D,4,FALSE) - VLOOKUP(A507,'⚖️ Balance à importer'!A:D,3,FALSE), "")</f>
        <v/>
      </c>
    </row>
    <row r="508" spans="4:4" ht="15.75" x14ac:dyDescent="0.25">
      <c r="D508" s="12" t="str">
        <f>IFERROR(VLOOKUP(A508,'⚖️ Balance à importer'!A:D,4,FALSE) - VLOOKUP(A508,'⚖️ Balance à importer'!A:D,3,FALSE), "")</f>
        <v/>
      </c>
    </row>
    <row r="509" spans="4:4" ht="15.75" x14ac:dyDescent="0.25">
      <c r="D509" s="12" t="str">
        <f>IFERROR(VLOOKUP(A509,'⚖️ Balance à importer'!A:D,4,FALSE) - VLOOKUP(A509,'⚖️ Balance à importer'!A:D,3,FALSE), "")</f>
        <v/>
      </c>
    </row>
    <row r="510" spans="4:4" ht="15.75" x14ac:dyDescent="0.25">
      <c r="D510" s="12" t="str">
        <f>IFERROR(VLOOKUP(A510,'⚖️ Balance à importer'!A:D,4,FALSE) - VLOOKUP(A510,'⚖️ Balance à importer'!A:D,3,FALSE), "")</f>
        <v/>
      </c>
    </row>
    <row r="511" spans="4:4" ht="15.75" x14ac:dyDescent="0.25">
      <c r="D511" s="12" t="str">
        <f>IFERROR(VLOOKUP(A511,'⚖️ Balance à importer'!A:D,4,FALSE) - VLOOKUP(A511,'⚖️ Balance à importer'!A:D,3,FALSE), "")</f>
        <v/>
      </c>
    </row>
    <row r="512" spans="4:4" ht="15.75" x14ac:dyDescent="0.25">
      <c r="D512" s="12" t="str">
        <f>IFERROR(VLOOKUP(A512,'⚖️ Balance à importer'!A:D,4,FALSE) - VLOOKUP(A512,'⚖️ Balance à importer'!A:D,3,FALSE), "")</f>
        <v/>
      </c>
    </row>
    <row r="513" spans="4:4" ht="15.75" x14ac:dyDescent="0.25">
      <c r="D513" s="12" t="str">
        <f>IFERROR(VLOOKUP(A513,'⚖️ Balance à importer'!A:D,4,FALSE) - VLOOKUP(A513,'⚖️ Balance à importer'!A:D,3,FALSE), "")</f>
        <v/>
      </c>
    </row>
    <row r="514" spans="4:4" ht="15.75" x14ac:dyDescent="0.25">
      <c r="D514" s="12" t="str">
        <f>IFERROR(VLOOKUP(A514,'⚖️ Balance à importer'!A:D,4,FALSE) - VLOOKUP(A514,'⚖️ Balance à importer'!A:D,3,FALSE), "")</f>
        <v/>
      </c>
    </row>
    <row r="515" spans="4:4" ht="15.75" x14ac:dyDescent="0.25">
      <c r="D515" s="12" t="str">
        <f>IFERROR(VLOOKUP(A515,'⚖️ Balance à importer'!A:D,4,FALSE) - VLOOKUP(A515,'⚖️ Balance à importer'!A:D,3,FALSE), "")</f>
        <v/>
      </c>
    </row>
    <row r="516" spans="4:4" ht="15.75" x14ac:dyDescent="0.25">
      <c r="D516" s="12" t="str">
        <f>IFERROR(VLOOKUP(A516,'⚖️ Balance à importer'!A:D,4,FALSE) - VLOOKUP(A516,'⚖️ Balance à importer'!A:D,3,FALSE), "")</f>
        <v/>
      </c>
    </row>
    <row r="517" spans="4:4" ht="15.75" x14ac:dyDescent="0.25">
      <c r="D517" s="12" t="str">
        <f>IFERROR(VLOOKUP(A517,'⚖️ Balance à importer'!A:D,4,FALSE) - VLOOKUP(A517,'⚖️ Balance à importer'!A:D,3,FALSE), "")</f>
        <v/>
      </c>
    </row>
    <row r="518" spans="4:4" ht="15.75" x14ac:dyDescent="0.25">
      <c r="D518" s="12" t="str">
        <f>IFERROR(VLOOKUP(A518,'⚖️ Balance à importer'!A:D,4,FALSE) - VLOOKUP(A518,'⚖️ Balance à importer'!A:D,3,FALSE), "")</f>
        <v/>
      </c>
    </row>
    <row r="519" spans="4:4" ht="15.75" x14ac:dyDescent="0.25">
      <c r="D519" s="12" t="str">
        <f>IFERROR(VLOOKUP(A519,'⚖️ Balance à importer'!A:D,4,FALSE) - VLOOKUP(A519,'⚖️ Balance à importer'!A:D,3,FALSE), "")</f>
        <v/>
      </c>
    </row>
    <row r="520" spans="4:4" ht="15.75" x14ac:dyDescent="0.25">
      <c r="D520" s="12" t="str">
        <f>IFERROR(VLOOKUP(A520,'⚖️ Balance à importer'!A:D,4,FALSE) - VLOOKUP(A520,'⚖️ Balance à importer'!A:D,3,FALSE), "")</f>
        <v/>
      </c>
    </row>
    <row r="521" spans="4:4" ht="15.75" x14ac:dyDescent="0.25">
      <c r="D521" s="12" t="str">
        <f>IFERROR(VLOOKUP(A521,'⚖️ Balance à importer'!A:D,4,FALSE) - VLOOKUP(A521,'⚖️ Balance à importer'!A:D,3,FALSE), "")</f>
        <v/>
      </c>
    </row>
    <row r="522" spans="4:4" ht="15.75" x14ac:dyDescent="0.25">
      <c r="D522" s="12" t="str">
        <f>IFERROR(VLOOKUP(A522,'⚖️ Balance à importer'!A:D,4,FALSE) - VLOOKUP(A522,'⚖️ Balance à importer'!A:D,3,FALSE), "")</f>
        <v/>
      </c>
    </row>
    <row r="523" spans="4:4" ht="15.75" x14ac:dyDescent="0.25">
      <c r="D523" s="12" t="str">
        <f>IFERROR(VLOOKUP(A523,'⚖️ Balance à importer'!A:D,4,FALSE) - VLOOKUP(A523,'⚖️ Balance à importer'!A:D,3,FALSE), "")</f>
        <v/>
      </c>
    </row>
    <row r="524" spans="4:4" ht="15.75" x14ac:dyDescent="0.25">
      <c r="D524" s="12" t="str">
        <f>IFERROR(VLOOKUP(A524,'⚖️ Balance à importer'!A:D,4,FALSE) - VLOOKUP(A524,'⚖️ Balance à importer'!A:D,3,FALSE), "")</f>
        <v/>
      </c>
    </row>
    <row r="525" spans="4:4" ht="15.75" x14ac:dyDescent="0.25">
      <c r="D525" s="12" t="str">
        <f>IFERROR(VLOOKUP(A525,'⚖️ Balance à importer'!A:D,4,FALSE) - VLOOKUP(A525,'⚖️ Balance à importer'!A:D,3,FALSE), "")</f>
        <v/>
      </c>
    </row>
    <row r="526" spans="4:4" ht="15.75" x14ac:dyDescent="0.25">
      <c r="D526" s="12" t="str">
        <f>IFERROR(VLOOKUP(A526,'⚖️ Balance à importer'!A:D,4,FALSE) - VLOOKUP(A526,'⚖️ Balance à importer'!A:D,3,FALSE), "")</f>
        <v/>
      </c>
    </row>
    <row r="527" spans="4:4" ht="15.75" x14ac:dyDescent="0.25">
      <c r="D527" s="12" t="str">
        <f>IFERROR(VLOOKUP(A527,'⚖️ Balance à importer'!A:D,4,FALSE) - VLOOKUP(A527,'⚖️ Balance à importer'!A:D,3,FALSE), "")</f>
        <v/>
      </c>
    </row>
    <row r="528" spans="4:4" ht="15.75" x14ac:dyDescent="0.25">
      <c r="D528" s="12" t="str">
        <f>IFERROR(VLOOKUP(A528,'⚖️ Balance à importer'!A:D,4,FALSE) - VLOOKUP(A528,'⚖️ Balance à importer'!A:D,3,FALSE), "")</f>
        <v/>
      </c>
    </row>
    <row r="529" spans="4:4" ht="15.75" x14ac:dyDescent="0.25">
      <c r="D529" s="12" t="str">
        <f>IFERROR(VLOOKUP(A529,'⚖️ Balance à importer'!A:D,4,FALSE) - VLOOKUP(A529,'⚖️ Balance à importer'!A:D,3,FALSE), "")</f>
        <v/>
      </c>
    </row>
    <row r="530" spans="4:4" ht="15.75" x14ac:dyDescent="0.25">
      <c r="D530" s="12" t="str">
        <f>IFERROR(VLOOKUP(A530,'⚖️ Balance à importer'!A:D,4,FALSE) - VLOOKUP(A530,'⚖️ Balance à importer'!A:D,3,FALSE), "")</f>
        <v/>
      </c>
    </row>
    <row r="531" spans="4:4" ht="15.75" x14ac:dyDescent="0.25">
      <c r="D531" s="12" t="str">
        <f>IFERROR(VLOOKUP(A531,'⚖️ Balance à importer'!A:D,4,FALSE) - VLOOKUP(A531,'⚖️ Balance à importer'!A:D,3,FALSE), "")</f>
        <v/>
      </c>
    </row>
    <row r="532" spans="4:4" ht="15.75" x14ac:dyDescent="0.25">
      <c r="D532" s="12" t="str">
        <f>IFERROR(VLOOKUP(A532,'⚖️ Balance à importer'!A:D,4,FALSE) - VLOOKUP(A532,'⚖️ Balance à importer'!A:D,3,FALSE), "")</f>
        <v/>
      </c>
    </row>
    <row r="533" spans="4:4" ht="15.75" x14ac:dyDescent="0.25">
      <c r="D533" s="12" t="str">
        <f>IFERROR(VLOOKUP(A533,'⚖️ Balance à importer'!A:D,4,FALSE) - VLOOKUP(A533,'⚖️ Balance à importer'!A:D,3,FALSE), "")</f>
        <v/>
      </c>
    </row>
    <row r="534" spans="4:4" ht="15.75" x14ac:dyDescent="0.25">
      <c r="D534" s="12" t="str">
        <f>IFERROR(VLOOKUP(A534,'⚖️ Balance à importer'!A:D,4,FALSE) - VLOOKUP(A534,'⚖️ Balance à importer'!A:D,3,FALSE), "")</f>
        <v/>
      </c>
    </row>
    <row r="535" spans="4:4" ht="15.75" x14ac:dyDescent="0.25">
      <c r="D535" s="12" t="str">
        <f>IFERROR(VLOOKUP(A535,'⚖️ Balance à importer'!A:D,4,FALSE) - VLOOKUP(A535,'⚖️ Balance à importer'!A:D,3,FALSE), "")</f>
        <v/>
      </c>
    </row>
    <row r="536" spans="4:4" ht="15.75" x14ac:dyDescent="0.25">
      <c r="D536" s="12" t="str">
        <f>IFERROR(VLOOKUP(A536,'⚖️ Balance à importer'!A:D,4,FALSE) - VLOOKUP(A536,'⚖️ Balance à importer'!A:D,3,FALSE), "")</f>
        <v/>
      </c>
    </row>
    <row r="537" spans="4:4" ht="15.75" x14ac:dyDescent="0.25">
      <c r="D537" s="12" t="str">
        <f>IFERROR(VLOOKUP(A537,'⚖️ Balance à importer'!A:D,4,FALSE) - VLOOKUP(A537,'⚖️ Balance à importer'!A:D,3,FALSE), "")</f>
        <v/>
      </c>
    </row>
    <row r="538" spans="4:4" ht="15.75" x14ac:dyDescent="0.25">
      <c r="D538" s="12" t="str">
        <f>IFERROR(VLOOKUP(A538,'⚖️ Balance à importer'!A:D,4,FALSE) - VLOOKUP(A538,'⚖️ Balance à importer'!A:D,3,FALSE), "")</f>
        <v/>
      </c>
    </row>
    <row r="539" spans="4:4" ht="15.75" x14ac:dyDescent="0.25">
      <c r="D539" s="12" t="str">
        <f>IFERROR(VLOOKUP(A539,'⚖️ Balance à importer'!A:D,4,FALSE) - VLOOKUP(A539,'⚖️ Balance à importer'!A:D,3,FALSE), "")</f>
        <v/>
      </c>
    </row>
    <row r="540" spans="4:4" ht="15.75" x14ac:dyDescent="0.25">
      <c r="D540" s="12" t="str">
        <f>IFERROR(VLOOKUP(A540,'⚖️ Balance à importer'!A:D,4,FALSE) - VLOOKUP(A540,'⚖️ Balance à importer'!A:D,3,FALSE), "")</f>
        <v/>
      </c>
    </row>
    <row r="541" spans="4:4" ht="15.75" x14ac:dyDescent="0.25">
      <c r="D541" s="12" t="str">
        <f>IFERROR(VLOOKUP(A541,'⚖️ Balance à importer'!A:D,4,FALSE) - VLOOKUP(A541,'⚖️ Balance à importer'!A:D,3,FALSE), "")</f>
        <v/>
      </c>
    </row>
    <row r="542" spans="4:4" ht="15.75" x14ac:dyDescent="0.25">
      <c r="D542" s="12" t="str">
        <f>IFERROR(VLOOKUP(A542,'⚖️ Balance à importer'!A:D,4,FALSE) - VLOOKUP(A542,'⚖️ Balance à importer'!A:D,3,FALSE), "")</f>
        <v/>
      </c>
    </row>
    <row r="543" spans="4:4" ht="15.75" x14ac:dyDescent="0.25">
      <c r="D543" s="12" t="str">
        <f>IFERROR(VLOOKUP(A543,'⚖️ Balance à importer'!A:D,4,FALSE) - VLOOKUP(A543,'⚖️ Balance à importer'!A:D,3,FALSE), "")</f>
        <v/>
      </c>
    </row>
    <row r="544" spans="4:4" ht="15.75" x14ac:dyDescent="0.25">
      <c r="D544" s="12" t="str">
        <f>IFERROR(VLOOKUP(A544,'⚖️ Balance à importer'!A:D,4,FALSE) - VLOOKUP(A544,'⚖️ Balance à importer'!A:D,3,FALSE), "")</f>
        <v/>
      </c>
    </row>
    <row r="545" spans="4:4" ht="15.75" x14ac:dyDescent="0.25">
      <c r="D545" s="12" t="str">
        <f>IFERROR(VLOOKUP(A545,'⚖️ Balance à importer'!A:D,4,FALSE) - VLOOKUP(A545,'⚖️ Balance à importer'!A:D,3,FALSE), "")</f>
        <v/>
      </c>
    </row>
    <row r="546" spans="4:4" ht="15.75" x14ac:dyDescent="0.25">
      <c r="D546" s="12" t="str">
        <f>IFERROR(VLOOKUP(A546,'⚖️ Balance à importer'!A:D,4,FALSE) - VLOOKUP(A546,'⚖️ Balance à importer'!A:D,3,FALSE), "")</f>
        <v/>
      </c>
    </row>
    <row r="547" spans="4:4" ht="15.75" x14ac:dyDescent="0.25">
      <c r="D547" s="12" t="str">
        <f>IFERROR(VLOOKUP(A547,'⚖️ Balance à importer'!A:D,4,FALSE) - VLOOKUP(A547,'⚖️ Balance à importer'!A:D,3,FALSE), "")</f>
        <v/>
      </c>
    </row>
    <row r="548" spans="4:4" ht="15.75" x14ac:dyDescent="0.25">
      <c r="D548" s="12" t="str">
        <f>IFERROR(VLOOKUP(A548,'⚖️ Balance à importer'!A:D,4,FALSE) - VLOOKUP(A548,'⚖️ Balance à importer'!A:D,3,FALSE), "")</f>
        <v/>
      </c>
    </row>
    <row r="549" spans="4:4" ht="15.75" x14ac:dyDescent="0.25">
      <c r="D549" s="12" t="str">
        <f>IFERROR(VLOOKUP(A549,'⚖️ Balance à importer'!A:D,4,FALSE) - VLOOKUP(A549,'⚖️ Balance à importer'!A:D,3,FALSE), "")</f>
        <v/>
      </c>
    </row>
    <row r="550" spans="4:4" ht="15.75" x14ac:dyDescent="0.25">
      <c r="D550" s="12" t="str">
        <f>IFERROR(VLOOKUP(A550,'⚖️ Balance à importer'!A:D,4,FALSE) - VLOOKUP(A550,'⚖️ Balance à importer'!A:D,3,FALSE), "")</f>
        <v/>
      </c>
    </row>
    <row r="551" spans="4:4" ht="15.75" x14ac:dyDescent="0.25">
      <c r="D551" s="12" t="str">
        <f>IFERROR(VLOOKUP(A551,'⚖️ Balance à importer'!A:D,4,FALSE) - VLOOKUP(A551,'⚖️ Balance à importer'!A:D,3,FALSE), "")</f>
        <v/>
      </c>
    </row>
    <row r="552" spans="4:4" ht="15.75" x14ac:dyDescent="0.25">
      <c r="D552" s="12" t="str">
        <f>IFERROR(VLOOKUP(A552,'⚖️ Balance à importer'!A:D,4,FALSE) - VLOOKUP(A552,'⚖️ Balance à importer'!A:D,3,FALSE), "")</f>
        <v/>
      </c>
    </row>
    <row r="553" spans="4:4" ht="15.75" x14ac:dyDescent="0.25">
      <c r="D553" s="12" t="str">
        <f>IFERROR(VLOOKUP(A553,'⚖️ Balance à importer'!A:D,4,FALSE) - VLOOKUP(A553,'⚖️ Balance à importer'!A:D,3,FALSE), "")</f>
        <v/>
      </c>
    </row>
    <row r="554" spans="4:4" ht="15.75" x14ac:dyDescent="0.25">
      <c r="D554" s="12" t="str">
        <f>IFERROR(VLOOKUP(A554,'⚖️ Balance à importer'!A:D,4,FALSE) - VLOOKUP(A554,'⚖️ Balance à importer'!A:D,3,FALSE), "")</f>
        <v/>
      </c>
    </row>
    <row r="555" spans="4:4" ht="15.75" x14ac:dyDescent="0.25">
      <c r="D555" s="12" t="str">
        <f>IFERROR(VLOOKUP(A555,'⚖️ Balance à importer'!A:D,4,FALSE) - VLOOKUP(A555,'⚖️ Balance à importer'!A:D,3,FALSE), "")</f>
        <v/>
      </c>
    </row>
    <row r="556" spans="4:4" ht="15.75" x14ac:dyDescent="0.25">
      <c r="D556" s="12" t="str">
        <f>IFERROR(VLOOKUP(A556,'⚖️ Balance à importer'!A:D,4,FALSE) - VLOOKUP(A556,'⚖️ Balance à importer'!A:D,3,FALSE), "")</f>
        <v/>
      </c>
    </row>
    <row r="557" spans="4:4" ht="15.75" x14ac:dyDescent="0.25">
      <c r="D557" s="12" t="str">
        <f>IFERROR(VLOOKUP(A557,'⚖️ Balance à importer'!A:D,4,FALSE) - VLOOKUP(A557,'⚖️ Balance à importer'!A:D,3,FALSE), "")</f>
        <v/>
      </c>
    </row>
    <row r="558" spans="4:4" ht="15.75" x14ac:dyDescent="0.25">
      <c r="D558" s="12" t="str">
        <f>IFERROR(VLOOKUP(A558,'⚖️ Balance à importer'!A:D,4,FALSE) - VLOOKUP(A558,'⚖️ Balance à importer'!A:D,3,FALSE), "")</f>
        <v/>
      </c>
    </row>
    <row r="559" spans="4:4" ht="15.75" x14ac:dyDescent="0.25">
      <c r="D559" s="12" t="str">
        <f>IFERROR(VLOOKUP(A559,'⚖️ Balance à importer'!A:D,4,FALSE) - VLOOKUP(A559,'⚖️ Balance à importer'!A:D,3,FALSE), "")</f>
        <v/>
      </c>
    </row>
    <row r="560" spans="4:4" ht="15.75" x14ac:dyDescent="0.25">
      <c r="D560" s="12" t="str">
        <f>IFERROR(VLOOKUP(A560,'⚖️ Balance à importer'!A:D,4,FALSE) - VLOOKUP(A560,'⚖️ Balance à importer'!A:D,3,FALSE), "")</f>
        <v/>
      </c>
    </row>
    <row r="561" spans="4:4" ht="15.75" x14ac:dyDescent="0.25">
      <c r="D561" s="12" t="str">
        <f>IFERROR(VLOOKUP(A561,'⚖️ Balance à importer'!A:D,4,FALSE) - VLOOKUP(A561,'⚖️ Balance à importer'!A:D,3,FALSE), "")</f>
        <v/>
      </c>
    </row>
    <row r="562" spans="4:4" ht="15.75" x14ac:dyDescent="0.25">
      <c r="D562" s="12" t="str">
        <f>IFERROR(VLOOKUP(A562,'⚖️ Balance à importer'!A:D,4,FALSE) - VLOOKUP(A562,'⚖️ Balance à importer'!A:D,3,FALSE), "")</f>
        <v/>
      </c>
    </row>
    <row r="563" spans="4:4" ht="15.75" x14ac:dyDescent="0.25">
      <c r="D563" s="12" t="str">
        <f>IFERROR(VLOOKUP(A563,'⚖️ Balance à importer'!A:D,4,FALSE) - VLOOKUP(A563,'⚖️ Balance à importer'!A:D,3,FALSE), "")</f>
        <v/>
      </c>
    </row>
    <row r="564" spans="4:4" ht="15.75" x14ac:dyDescent="0.25">
      <c r="D564" s="12" t="str">
        <f>IFERROR(VLOOKUP(A564,'⚖️ Balance à importer'!A:D,4,FALSE) - VLOOKUP(A564,'⚖️ Balance à importer'!A:D,3,FALSE), "")</f>
        <v/>
      </c>
    </row>
    <row r="565" spans="4:4" ht="15.75" x14ac:dyDescent="0.25">
      <c r="D565" s="12" t="str">
        <f>IFERROR(VLOOKUP(A565,'⚖️ Balance à importer'!A:D,4,FALSE) - VLOOKUP(A565,'⚖️ Balance à importer'!A:D,3,FALSE), "")</f>
        <v/>
      </c>
    </row>
    <row r="566" spans="4:4" ht="15.75" x14ac:dyDescent="0.25">
      <c r="D566" s="12" t="str">
        <f>IFERROR(VLOOKUP(A566,'⚖️ Balance à importer'!A:D,4,FALSE) - VLOOKUP(A566,'⚖️ Balance à importer'!A:D,3,FALSE), "")</f>
        <v/>
      </c>
    </row>
    <row r="567" spans="4:4" ht="15.75" x14ac:dyDescent="0.25">
      <c r="D567" s="12" t="str">
        <f>IFERROR(VLOOKUP(A567,'⚖️ Balance à importer'!A:D,4,FALSE) - VLOOKUP(A567,'⚖️ Balance à importer'!A:D,3,FALSE), "")</f>
        <v/>
      </c>
    </row>
    <row r="568" spans="4:4" ht="15.75" x14ac:dyDescent="0.25">
      <c r="D568" s="12" t="str">
        <f>IFERROR(VLOOKUP(A568,'⚖️ Balance à importer'!A:D,4,FALSE) - VLOOKUP(A568,'⚖️ Balance à importer'!A:D,3,FALSE), "")</f>
        <v/>
      </c>
    </row>
    <row r="569" spans="4:4" ht="15.75" x14ac:dyDescent="0.25">
      <c r="D569" s="12" t="str">
        <f>IFERROR(VLOOKUP(A569,'⚖️ Balance à importer'!A:D,4,FALSE) - VLOOKUP(A569,'⚖️ Balance à importer'!A:D,3,FALSE), "")</f>
        <v/>
      </c>
    </row>
    <row r="570" spans="4:4" ht="15.75" x14ac:dyDescent="0.25">
      <c r="D570" s="12" t="str">
        <f>IFERROR(VLOOKUP(A570,'⚖️ Balance à importer'!A:D,4,FALSE) - VLOOKUP(A570,'⚖️ Balance à importer'!A:D,3,FALSE), "")</f>
        <v/>
      </c>
    </row>
    <row r="571" spans="4:4" ht="15.75" x14ac:dyDescent="0.25">
      <c r="D571" s="12" t="str">
        <f>IFERROR(VLOOKUP(A571,'⚖️ Balance à importer'!A:D,4,FALSE) - VLOOKUP(A571,'⚖️ Balance à importer'!A:D,3,FALSE), "")</f>
        <v/>
      </c>
    </row>
    <row r="572" spans="4:4" ht="15.75" x14ac:dyDescent="0.25">
      <c r="D572" s="12" t="str">
        <f>IFERROR(VLOOKUP(A572,'⚖️ Balance à importer'!A:D,4,FALSE) - VLOOKUP(A572,'⚖️ Balance à importer'!A:D,3,FALSE), "")</f>
        <v/>
      </c>
    </row>
    <row r="573" spans="4:4" ht="15.75" x14ac:dyDescent="0.25">
      <c r="D573" s="12" t="str">
        <f>IFERROR(VLOOKUP(A573,'⚖️ Balance à importer'!A:D,4,FALSE) - VLOOKUP(A573,'⚖️ Balance à importer'!A:D,3,FALSE), "")</f>
        <v/>
      </c>
    </row>
    <row r="574" spans="4:4" ht="15.75" x14ac:dyDescent="0.25">
      <c r="D574" s="12" t="str">
        <f>IFERROR(VLOOKUP(A574,'⚖️ Balance à importer'!A:D,4,FALSE) - VLOOKUP(A574,'⚖️ Balance à importer'!A:D,3,FALSE), "")</f>
        <v/>
      </c>
    </row>
    <row r="575" spans="4:4" ht="15.75" x14ac:dyDescent="0.25">
      <c r="D575" s="12" t="str">
        <f>IFERROR(VLOOKUP(A575,'⚖️ Balance à importer'!A:D,4,FALSE) - VLOOKUP(A575,'⚖️ Balance à importer'!A:D,3,FALSE), "")</f>
        <v/>
      </c>
    </row>
    <row r="576" spans="4:4" ht="15.75" x14ac:dyDescent="0.25">
      <c r="D576" s="12" t="str">
        <f>IFERROR(VLOOKUP(A576,'⚖️ Balance à importer'!A:D,4,FALSE) - VLOOKUP(A576,'⚖️ Balance à importer'!A:D,3,FALSE), "")</f>
        <v/>
      </c>
    </row>
    <row r="577" spans="4:4" ht="15.75" x14ac:dyDescent="0.25">
      <c r="D577" s="12" t="str">
        <f>IFERROR(VLOOKUP(A577,'⚖️ Balance à importer'!A:D,4,FALSE) - VLOOKUP(A577,'⚖️ Balance à importer'!A:D,3,FALSE), "")</f>
        <v/>
      </c>
    </row>
    <row r="578" spans="4:4" ht="15.75" x14ac:dyDescent="0.25">
      <c r="D578" s="12" t="str">
        <f>IFERROR(VLOOKUP(A578,'⚖️ Balance à importer'!A:D,4,FALSE) - VLOOKUP(A578,'⚖️ Balance à importer'!A:D,3,FALSE), "")</f>
        <v/>
      </c>
    </row>
    <row r="579" spans="4:4" ht="15.75" x14ac:dyDescent="0.25">
      <c r="D579" s="12" t="str">
        <f>IFERROR(VLOOKUP(A579,'⚖️ Balance à importer'!A:D,4,FALSE) - VLOOKUP(A579,'⚖️ Balance à importer'!A:D,3,FALSE), "")</f>
        <v/>
      </c>
    </row>
    <row r="580" spans="4:4" ht="15.75" x14ac:dyDescent="0.25">
      <c r="D580" s="12" t="str">
        <f>IFERROR(VLOOKUP(A580,'⚖️ Balance à importer'!A:D,4,FALSE) - VLOOKUP(A580,'⚖️ Balance à importer'!A:D,3,FALSE), "")</f>
        <v/>
      </c>
    </row>
    <row r="581" spans="4:4" ht="15.75" x14ac:dyDescent="0.25">
      <c r="D581" s="12" t="str">
        <f>IFERROR(VLOOKUP(A581,'⚖️ Balance à importer'!A:D,4,FALSE) - VLOOKUP(A581,'⚖️ Balance à importer'!A:D,3,FALSE), "")</f>
        <v/>
      </c>
    </row>
    <row r="582" spans="4:4" ht="15.75" x14ac:dyDescent="0.25">
      <c r="D582" s="12" t="str">
        <f>IFERROR(VLOOKUP(A582,'⚖️ Balance à importer'!A:D,4,FALSE) - VLOOKUP(A582,'⚖️ Balance à importer'!A:D,3,FALSE), "")</f>
        <v/>
      </c>
    </row>
    <row r="583" spans="4:4" ht="15.75" x14ac:dyDescent="0.25">
      <c r="D583" s="12" t="str">
        <f>IFERROR(VLOOKUP(A583,'⚖️ Balance à importer'!A:D,4,FALSE) - VLOOKUP(A583,'⚖️ Balance à importer'!A:D,3,FALSE), "")</f>
        <v/>
      </c>
    </row>
    <row r="584" spans="4:4" ht="15.75" x14ac:dyDescent="0.25">
      <c r="D584" s="12" t="str">
        <f>IFERROR(VLOOKUP(A584,'⚖️ Balance à importer'!A:D,4,FALSE) - VLOOKUP(A584,'⚖️ Balance à importer'!A:D,3,FALSE), "")</f>
        <v/>
      </c>
    </row>
    <row r="585" spans="4:4" ht="15.75" x14ac:dyDescent="0.25">
      <c r="D585" s="12" t="str">
        <f>IFERROR(VLOOKUP(A585,'⚖️ Balance à importer'!A:D,4,FALSE) - VLOOKUP(A585,'⚖️ Balance à importer'!A:D,3,FALSE), "")</f>
        <v/>
      </c>
    </row>
    <row r="586" spans="4:4" ht="15.75" x14ac:dyDescent="0.25">
      <c r="D586" s="12" t="str">
        <f>IFERROR(VLOOKUP(A586,'⚖️ Balance à importer'!A:D,4,FALSE) - VLOOKUP(A586,'⚖️ Balance à importer'!A:D,3,FALSE), "")</f>
        <v/>
      </c>
    </row>
    <row r="587" spans="4:4" ht="15.75" x14ac:dyDescent="0.25">
      <c r="D587" s="12" t="str">
        <f>IFERROR(VLOOKUP(A587,'⚖️ Balance à importer'!A:D,4,FALSE) - VLOOKUP(A587,'⚖️ Balance à importer'!A:D,3,FALSE), "")</f>
        <v/>
      </c>
    </row>
    <row r="588" spans="4:4" ht="15.75" x14ac:dyDescent="0.25">
      <c r="D588" s="12" t="str">
        <f>IFERROR(VLOOKUP(A588,'⚖️ Balance à importer'!A:D,4,FALSE) - VLOOKUP(A588,'⚖️ Balance à importer'!A:D,3,FALSE), "")</f>
        <v/>
      </c>
    </row>
    <row r="589" spans="4:4" ht="15.75" x14ac:dyDescent="0.25">
      <c r="D589" s="12" t="str">
        <f>IFERROR(VLOOKUP(A589,'⚖️ Balance à importer'!A:D,4,FALSE) - VLOOKUP(A589,'⚖️ Balance à importer'!A:D,3,FALSE), "")</f>
        <v/>
      </c>
    </row>
    <row r="590" spans="4:4" ht="15.75" x14ac:dyDescent="0.25">
      <c r="D590" s="12" t="str">
        <f>IFERROR(VLOOKUP(A590,'⚖️ Balance à importer'!A:D,4,FALSE) - VLOOKUP(A590,'⚖️ Balance à importer'!A:D,3,FALSE), "")</f>
        <v/>
      </c>
    </row>
    <row r="591" spans="4:4" ht="15.75" x14ac:dyDescent="0.25">
      <c r="D591" s="12" t="str">
        <f>IFERROR(VLOOKUP(A591,'⚖️ Balance à importer'!A:D,4,FALSE) - VLOOKUP(A591,'⚖️ Balance à importer'!A:D,3,FALSE), "")</f>
        <v/>
      </c>
    </row>
    <row r="592" spans="4:4" ht="15.75" x14ac:dyDescent="0.25">
      <c r="D592" s="12" t="str">
        <f>IFERROR(VLOOKUP(A592,'⚖️ Balance à importer'!A:D,4,FALSE) - VLOOKUP(A592,'⚖️ Balance à importer'!A:D,3,FALSE), "")</f>
        <v/>
      </c>
    </row>
    <row r="593" spans="4:4" ht="15.75" x14ac:dyDescent="0.25">
      <c r="D593" s="12" t="str">
        <f>IFERROR(VLOOKUP(A593,'⚖️ Balance à importer'!A:D,4,FALSE) - VLOOKUP(A593,'⚖️ Balance à importer'!A:D,3,FALSE), "")</f>
        <v/>
      </c>
    </row>
    <row r="594" spans="4:4" ht="15.75" x14ac:dyDescent="0.25">
      <c r="D594" s="12" t="str">
        <f>IFERROR(VLOOKUP(A594,'⚖️ Balance à importer'!A:D,4,FALSE) - VLOOKUP(A594,'⚖️ Balance à importer'!A:D,3,FALSE), "")</f>
        <v/>
      </c>
    </row>
    <row r="595" spans="4:4" ht="15.75" x14ac:dyDescent="0.25">
      <c r="D595" s="12" t="str">
        <f>IFERROR(VLOOKUP(A595,'⚖️ Balance à importer'!A:D,4,FALSE) - VLOOKUP(A595,'⚖️ Balance à importer'!A:D,3,FALSE), "")</f>
        <v/>
      </c>
    </row>
    <row r="596" spans="4:4" ht="15.75" x14ac:dyDescent="0.25">
      <c r="D596" s="12" t="str">
        <f>IFERROR(VLOOKUP(A596,'⚖️ Balance à importer'!A:D,4,FALSE) - VLOOKUP(A596,'⚖️ Balance à importer'!A:D,3,FALSE), "")</f>
        <v/>
      </c>
    </row>
    <row r="597" spans="4:4" ht="15.75" x14ac:dyDescent="0.25">
      <c r="D597" s="12" t="str">
        <f>IFERROR(VLOOKUP(A597,'⚖️ Balance à importer'!A:D,4,FALSE) - VLOOKUP(A597,'⚖️ Balance à importer'!A:D,3,FALSE), "")</f>
        <v/>
      </c>
    </row>
    <row r="598" spans="4:4" ht="15.75" x14ac:dyDescent="0.25">
      <c r="D598" s="12" t="str">
        <f>IFERROR(VLOOKUP(A598,'⚖️ Balance à importer'!A:D,4,FALSE) - VLOOKUP(A598,'⚖️ Balance à importer'!A:D,3,FALSE), "")</f>
        <v/>
      </c>
    </row>
    <row r="599" spans="4:4" ht="15.75" x14ac:dyDescent="0.25">
      <c r="D599" s="12" t="str">
        <f>IFERROR(VLOOKUP(A599,'⚖️ Balance à importer'!A:D,4,FALSE) - VLOOKUP(A599,'⚖️ Balance à importer'!A:D,3,FALSE), "")</f>
        <v/>
      </c>
    </row>
    <row r="600" spans="4:4" ht="15.75" x14ac:dyDescent="0.25">
      <c r="D600" s="12" t="str">
        <f>IFERROR(VLOOKUP(A600,'⚖️ Balance à importer'!A:D,4,FALSE) - VLOOKUP(A600,'⚖️ Balance à importer'!A:D,3,FALSE), "")</f>
        <v/>
      </c>
    </row>
    <row r="601" spans="4:4" ht="15.75" x14ac:dyDescent="0.25">
      <c r="D601" s="12" t="str">
        <f>IFERROR(VLOOKUP(A601,'⚖️ Balance à importer'!A:D,4,FALSE) - VLOOKUP(A601,'⚖️ Balance à importer'!A:D,3,FALSE), "")</f>
        <v/>
      </c>
    </row>
    <row r="602" spans="4:4" ht="15.75" x14ac:dyDescent="0.25">
      <c r="D602" s="12" t="str">
        <f>IFERROR(VLOOKUP(A602,'⚖️ Balance à importer'!A:D,4,FALSE) - VLOOKUP(A602,'⚖️ Balance à importer'!A:D,3,FALSE), "")</f>
        <v/>
      </c>
    </row>
    <row r="603" spans="4:4" ht="15.75" x14ac:dyDescent="0.25">
      <c r="D603" s="12" t="str">
        <f>IFERROR(VLOOKUP(A603,'⚖️ Balance à importer'!A:D,4,FALSE) - VLOOKUP(A603,'⚖️ Balance à importer'!A:D,3,FALSE), "")</f>
        <v/>
      </c>
    </row>
    <row r="604" spans="4:4" ht="15.75" x14ac:dyDescent="0.25">
      <c r="D604" s="12" t="str">
        <f>IFERROR(VLOOKUP(A604,'⚖️ Balance à importer'!A:D,4,FALSE) - VLOOKUP(A604,'⚖️ Balance à importer'!A:D,3,FALSE), "")</f>
        <v/>
      </c>
    </row>
    <row r="605" spans="4:4" ht="15.75" x14ac:dyDescent="0.25">
      <c r="D605" s="12" t="str">
        <f>IFERROR(VLOOKUP(A605,'⚖️ Balance à importer'!A:D,4,FALSE) - VLOOKUP(A605,'⚖️ Balance à importer'!A:D,3,FALSE), "")</f>
        <v/>
      </c>
    </row>
    <row r="606" spans="4:4" ht="15.75" x14ac:dyDescent="0.25">
      <c r="D606" s="12" t="str">
        <f>IFERROR(VLOOKUP(A606,'⚖️ Balance à importer'!A:D,4,FALSE) - VLOOKUP(A606,'⚖️ Balance à importer'!A:D,3,FALSE), "")</f>
        <v/>
      </c>
    </row>
    <row r="607" spans="4:4" ht="15.75" x14ac:dyDescent="0.25">
      <c r="D607" s="12" t="str">
        <f>IFERROR(VLOOKUP(A607,'⚖️ Balance à importer'!A:D,4,FALSE) - VLOOKUP(A607,'⚖️ Balance à importer'!A:D,3,FALSE), "")</f>
        <v/>
      </c>
    </row>
    <row r="608" spans="4:4" ht="15.75" x14ac:dyDescent="0.25">
      <c r="D608" s="12" t="str">
        <f>IFERROR(VLOOKUP(A608,'⚖️ Balance à importer'!A:D,4,FALSE) - VLOOKUP(A608,'⚖️ Balance à importer'!A:D,3,FALSE), "")</f>
        <v/>
      </c>
    </row>
    <row r="609" spans="4:4" ht="15.75" x14ac:dyDescent="0.25">
      <c r="D609" s="12" t="str">
        <f>IFERROR(VLOOKUP(A609,'⚖️ Balance à importer'!A:D,4,FALSE) - VLOOKUP(A609,'⚖️ Balance à importer'!A:D,3,FALSE), "")</f>
        <v/>
      </c>
    </row>
    <row r="610" spans="4:4" ht="15.75" x14ac:dyDescent="0.25">
      <c r="D610" s="12" t="str">
        <f>IFERROR(VLOOKUP(A610,'⚖️ Balance à importer'!A:D,4,FALSE) - VLOOKUP(A610,'⚖️ Balance à importer'!A:D,3,FALSE), "")</f>
        <v/>
      </c>
    </row>
    <row r="611" spans="4:4" ht="15.75" x14ac:dyDescent="0.25">
      <c r="D611" s="12" t="str">
        <f>IFERROR(VLOOKUP(A611,'⚖️ Balance à importer'!A:D,4,FALSE) - VLOOKUP(A611,'⚖️ Balance à importer'!A:D,3,FALSE), "")</f>
        <v/>
      </c>
    </row>
    <row r="612" spans="4:4" ht="15.75" x14ac:dyDescent="0.25">
      <c r="D612" s="12" t="str">
        <f>IFERROR(VLOOKUP(A612,'⚖️ Balance à importer'!A:D,4,FALSE) - VLOOKUP(A612,'⚖️ Balance à importer'!A:D,3,FALSE), "")</f>
        <v/>
      </c>
    </row>
    <row r="613" spans="4:4" ht="15.75" x14ac:dyDescent="0.25">
      <c r="D613" s="12" t="str">
        <f>IFERROR(VLOOKUP(A613,'⚖️ Balance à importer'!A:D,4,FALSE) - VLOOKUP(A613,'⚖️ Balance à importer'!A:D,3,FALSE), "")</f>
        <v/>
      </c>
    </row>
    <row r="614" spans="4:4" ht="15.75" x14ac:dyDescent="0.25">
      <c r="D614" s="12" t="str">
        <f>IFERROR(VLOOKUP(A614,'⚖️ Balance à importer'!A:D,4,FALSE) - VLOOKUP(A614,'⚖️ Balance à importer'!A:D,3,FALSE), "")</f>
        <v/>
      </c>
    </row>
    <row r="615" spans="4:4" ht="15.75" x14ac:dyDescent="0.25">
      <c r="D615" s="12" t="str">
        <f>IFERROR(VLOOKUP(A615,'⚖️ Balance à importer'!A:D,4,FALSE) - VLOOKUP(A615,'⚖️ Balance à importer'!A:D,3,FALSE), "")</f>
        <v/>
      </c>
    </row>
    <row r="616" spans="4:4" ht="15.75" x14ac:dyDescent="0.25">
      <c r="D616" s="12" t="str">
        <f>IFERROR(VLOOKUP(A616,'⚖️ Balance à importer'!A:D,4,FALSE) - VLOOKUP(A616,'⚖️ Balance à importer'!A:D,3,FALSE), "")</f>
        <v/>
      </c>
    </row>
    <row r="617" spans="4:4" ht="15.75" x14ac:dyDescent="0.25">
      <c r="D617" s="12" t="str">
        <f>IFERROR(VLOOKUP(A617,'⚖️ Balance à importer'!A:D,4,FALSE) - VLOOKUP(A617,'⚖️ Balance à importer'!A:D,3,FALSE), "")</f>
        <v/>
      </c>
    </row>
    <row r="618" spans="4:4" ht="15.75" x14ac:dyDescent="0.25">
      <c r="D618" s="12" t="str">
        <f>IFERROR(VLOOKUP(A618,'⚖️ Balance à importer'!A:D,4,FALSE) - VLOOKUP(A618,'⚖️ Balance à importer'!A:D,3,FALSE), "")</f>
        <v/>
      </c>
    </row>
    <row r="619" spans="4:4" ht="15.75" x14ac:dyDescent="0.25">
      <c r="D619" s="12" t="str">
        <f>IFERROR(VLOOKUP(A619,'⚖️ Balance à importer'!A:D,4,FALSE) - VLOOKUP(A619,'⚖️ Balance à importer'!A:D,3,FALSE), "")</f>
        <v/>
      </c>
    </row>
    <row r="620" spans="4:4" ht="15.75" x14ac:dyDescent="0.25">
      <c r="D620" s="12" t="str">
        <f>IFERROR(VLOOKUP(A620,'⚖️ Balance à importer'!A:D,4,FALSE) - VLOOKUP(A620,'⚖️ Balance à importer'!A:D,3,FALSE), "")</f>
        <v/>
      </c>
    </row>
    <row r="621" spans="4:4" ht="15.75" x14ac:dyDescent="0.25">
      <c r="D621" s="12" t="str">
        <f>IFERROR(VLOOKUP(A621,'⚖️ Balance à importer'!A:D,4,FALSE) - VLOOKUP(A621,'⚖️ Balance à importer'!A:D,3,FALSE), "")</f>
        <v/>
      </c>
    </row>
    <row r="622" spans="4:4" ht="15.75" x14ac:dyDescent="0.25">
      <c r="D622" s="12" t="str">
        <f>IFERROR(VLOOKUP(A622,'⚖️ Balance à importer'!A:D,4,FALSE) - VLOOKUP(A622,'⚖️ Balance à importer'!A:D,3,FALSE), "")</f>
        <v/>
      </c>
    </row>
    <row r="623" spans="4:4" ht="15.75" x14ac:dyDescent="0.25">
      <c r="D623" s="12" t="str">
        <f>IFERROR(VLOOKUP(A623,'⚖️ Balance à importer'!A:D,4,FALSE) - VLOOKUP(A623,'⚖️ Balance à importer'!A:D,3,FALSE), "")</f>
        <v/>
      </c>
    </row>
    <row r="624" spans="4:4" ht="15.75" x14ac:dyDescent="0.25">
      <c r="D624" s="12" t="str">
        <f>IFERROR(VLOOKUP(A624,'⚖️ Balance à importer'!A:D,4,FALSE) - VLOOKUP(A624,'⚖️ Balance à importer'!A:D,3,FALSE), "")</f>
        <v/>
      </c>
    </row>
    <row r="625" spans="4:4" ht="15.75" x14ac:dyDescent="0.25">
      <c r="D625" s="12" t="str">
        <f>IFERROR(VLOOKUP(A625,'⚖️ Balance à importer'!A:D,4,FALSE) - VLOOKUP(A625,'⚖️ Balance à importer'!A:D,3,FALSE), "")</f>
        <v/>
      </c>
    </row>
    <row r="626" spans="4:4" ht="15.75" x14ac:dyDescent="0.25">
      <c r="D626" s="12" t="str">
        <f>IFERROR(VLOOKUP(A626,'⚖️ Balance à importer'!A:D,4,FALSE) - VLOOKUP(A626,'⚖️ Balance à importer'!A:D,3,FALSE), "")</f>
        <v/>
      </c>
    </row>
    <row r="627" spans="4:4" ht="15.75" x14ac:dyDescent="0.25">
      <c r="D627" s="12" t="str">
        <f>IFERROR(VLOOKUP(A627,'⚖️ Balance à importer'!A:D,4,FALSE) - VLOOKUP(A627,'⚖️ Balance à importer'!A:D,3,FALSE), "")</f>
        <v/>
      </c>
    </row>
    <row r="628" spans="4:4" ht="15.75" x14ac:dyDescent="0.25">
      <c r="D628" s="12" t="str">
        <f>IFERROR(VLOOKUP(A628,'⚖️ Balance à importer'!A:D,4,FALSE) - VLOOKUP(A628,'⚖️ Balance à importer'!A:D,3,FALSE), "")</f>
        <v/>
      </c>
    </row>
    <row r="629" spans="4:4" ht="15.75" x14ac:dyDescent="0.25">
      <c r="D629" s="12" t="str">
        <f>IFERROR(VLOOKUP(A629,'⚖️ Balance à importer'!A:D,4,FALSE) - VLOOKUP(A629,'⚖️ Balance à importer'!A:D,3,FALSE), "")</f>
        <v/>
      </c>
    </row>
    <row r="630" spans="4:4" ht="15.75" x14ac:dyDescent="0.25">
      <c r="D630" s="12" t="str">
        <f>IFERROR(VLOOKUP(A630,'⚖️ Balance à importer'!A:D,4,FALSE) - VLOOKUP(A630,'⚖️ Balance à importer'!A:D,3,FALSE), "")</f>
        <v/>
      </c>
    </row>
    <row r="631" spans="4:4" ht="15.75" x14ac:dyDescent="0.25">
      <c r="D631" s="12" t="str">
        <f>IFERROR(VLOOKUP(A631,'⚖️ Balance à importer'!A:D,4,FALSE) - VLOOKUP(A631,'⚖️ Balance à importer'!A:D,3,FALSE), "")</f>
        <v/>
      </c>
    </row>
    <row r="632" spans="4:4" ht="15.75" x14ac:dyDescent="0.25">
      <c r="D632" s="12" t="str">
        <f>IFERROR(VLOOKUP(A632,'⚖️ Balance à importer'!A:D,4,FALSE) - VLOOKUP(A632,'⚖️ Balance à importer'!A:D,3,FALSE), "")</f>
        <v/>
      </c>
    </row>
    <row r="633" spans="4:4" ht="15.75" x14ac:dyDescent="0.25">
      <c r="D633" s="12" t="str">
        <f>IFERROR(VLOOKUP(A633,'⚖️ Balance à importer'!A:D,4,FALSE) - VLOOKUP(A633,'⚖️ Balance à importer'!A:D,3,FALSE), "")</f>
        <v/>
      </c>
    </row>
    <row r="634" spans="4:4" ht="15.75" x14ac:dyDescent="0.25">
      <c r="D634" s="12" t="str">
        <f>IFERROR(VLOOKUP(A634,'⚖️ Balance à importer'!A:D,4,FALSE) - VLOOKUP(A634,'⚖️ Balance à importer'!A:D,3,FALSE), "")</f>
        <v/>
      </c>
    </row>
    <row r="635" spans="4:4" ht="15.75" x14ac:dyDescent="0.25">
      <c r="D635" s="12" t="str">
        <f>IFERROR(VLOOKUP(A635,'⚖️ Balance à importer'!A:D,4,FALSE) - VLOOKUP(A635,'⚖️ Balance à importer'!A:D,3,FALSE), "")</f>
        <v/>
      </c>
    </row>
    <row r="636" spans="4:4" ht="15.75" x14ac:dyDescent="0.25">
      <c r="D636" s="12" t="str">
        <f>IFERROR(VLOOKUP(A636,'⚖️ Balance à importer'!A:D,4,FALSE) - VLOOKUP(A636,'⚖️ Balance à importer'!A:D,3,FALSE), "")</f>
        <v/>
      </c>
    </row>
    <row r="637" spans="4:4" ht="15.75" x14ac:dyDescent="0.25">
      <c r="D637" s="12" t="str">
        <f>IFERROR(VLOOKUP(A637,'⚖️ Balance à importer'!A:D,4,FALSE) - VLOOKUP(A637,'⚖️ Balance à importer'!A:D,3,FALSE), "")</f>
        <v/>
      </c>
    </row>
    <row r="638" spans="4:4" ht="15.75" x14ac:dyDescent="0.25">
      <c r="D638" s="12" t="str">
        <f>IFERROR(VLOOKUP(A638,'⚖️ Balance à importer'!A:D,4,FALSE) - VLOOKUP(A638,'⚖️ Balance à importer'!A:D,3,FALSE), "")</f>
        <v/>
      </c>
    </row>
    <row r="639" spans="4:4" ht="15.75" x14ac:dyDescent="0.25">
      <c r="D639" s="12" t="str">
        <f>IFERROR(VLOOKUP(A639,'⚖️ Balance à importer'!A:D,4,FALSE) - VLOOKUP(A639,'⚖️ Balance à importer'!A:D,3,FALSE), "")</f>
        <v/>
      </c>
    </row>
    <row r="640" spans="4:4" ht="15.75" x14ac:dyDescent="0.25">
      <c r="D640" s="12" t="str">
        <f>IFERROR(VLOOKUP(A640,'⚖️ Balance à importer'!A:D,4,FALSE) - VLOOKUP(A640,'⚖️ Balance à importer'!A:D,3,FALSE), "")</f>
        <v/>
      </c>
    </row>
    <row r="641" spans="4:4" ht="15.75" x14ac:dyDescent="0.25">
      <c r="D641" s="12" t="str">
        <f>IFERROR(VLOOKUP(A641,'⚖️ Balance à importer'!A:D,4,FALSE) - VLOOKUP(A641,'⚖️ Balance à importer'!A:D,3,FALSE), "")</f>
        <v/>
      </c>
    </row>
    <row r="642" spans="4:4" ht="15.75" x14ac:dyDescent="0.25">
      <c r="D642" s="12" t="str">
        <f>IFERROR(VLOOKUP(A642,'⚖️ Balance à importer'!A:D,4,FALSE) - VLOOKUP(A642,'⚖️ Balance à importer'!A:D,3,FALSE), "")</f>
        <v/>
      </c>
    </row>
    <row r="643" spans="4:4" ht="15.75" x14ac:dyDescent="0.25">
      <c r="D643" s="12" t="str">
        <f>IFERROR(VLOOKUP(A643,'⚖️ Balance à importer'!A:D,4,FALSE) - VLOOKUP(A643,'⚖️ Balance à importer'!A:D,3,FALSE), "")</f>
        <v/>
      </c>
    </row>
    <row r="644" spans="4:4" ht="15.75" x14ac:dyDescent="0.25">
      <c r="D644" s="12" t="str">
        <f>IFERROR(VLOOKUP(A644,'⚖️ Balance à importer'!A:D,4,FALSE) - VLOOKUP(A644,'⚖️ Balance à importer'!A:D,3,FALSE), "")</f>
        <v/>
      </c>
    </row>
    <row r="645" spans="4:4" ht="15.75" x14ac:dyDescent="0.25">
      <c r="D645" s="12" t="str">
        <f>IFERROR(VLOOKUP(A645,'⚖️ Balance à importer'!A:D,4,FALSE) - VLOOKUP(A645,'⚖️ Balance à importer'!A:D,3,FALSE), "")</f>
        <v/>
      </c>
    </row>
    <row r="646" spans="4:4" ht="15.75" x14ac:dyDescent="0.25">
      <c r="D646" s="12" t="str">
        <f>IFERROR(VLOOKUP(A646,'⚖️ Balance à importer'!A:D,4,FALSE) - VLOOKUP(A646,'⚖️ Balance à importer'!A:D,3,FALSE), "")</f>
        <v/>
      </c>
    </row>
    <row r="647" spans="4:4" ht="15.75" x14ac:dyDescent="0.25">
      <c r="D647" s="12" t="str">
        <f>IFERROR(VLOOKUP(A647,'⚖️ Balance à importer'!A:D,4,FALSE) - VLOOKUP(A647,'⚖️ Balance à importer'!A:D,3,FALSE), "")</f>
        <v/>
      </c>
    </row>
    <row r="648" spans="4:4" ht="15.75" x14ac:dyDescent="0.25">
      <c r="D648" s="12" t="str">
        <f>IFERROR(VLOOKUP(A648,'⚖️ Balance à importer'!A:D,4,FALSE) - VLOOKUP(A648,'⚖️ Balance à importer'!A:D,3,FALSE), "")</f>
        <v/>
      </c>
    </row>
    <row r="649" spans="4:4" ht="15.75" x14ac:dyDescent="0.25">
      <c r="D649" s="12" t="str">
        <f>IFERROR(VLOOKUP(A649,'⚖️ Balance à importer'!A:D,4,FALSE) - VLOOKUP(A649,'⚖️ Balance à importer'!A:D,3,FALSE), "")</f>
        <v/>
      </c>
    </row>
    <row r="650" spans="4:4" ht="15.75" x14ac:dyDescent="0.25">
      <c r="D650" s="12" t="str">
        <f>IFERROR(VLOOKUP(A650,'⚖️ Balance à importer'!A:D,4,FALSE) - VLOOKUP(A650,'⚖️ Balance à importer'!A:D,3,FALSE), "")</f>
        <v/>
      </c>
    </row>
    <row r="651" spans="4:4" ht="15.75" x14ac:dyDescent="0.25">
      <c r="D651" s="12" t="str">
        <f>IFERROR(VLOOKUP(A651,'⚖️ Balance à importer'!A:D,4,FALSE) - VLOOKUP(A651,'⚖️ Balance à importer'!A:D,3,FALSE), "")</f>
        <v/>
      </c>
    </row>
    <row r="652" spans="4:4" ht="15.75" x14ac:dyDescent="0.25">
      <c r="D652" s="12" t="str">
        <f>IFERROR(VLOOKUP(A652,'⚖️ Balance à importer'!A:D,4,FALSE) - VLOOKUP(A652,'⚖️ Balance à importer'!A:D,3,FALSE), "")</f>
        <v/>
      </c>
    </row>
    <row r="653" spans="4:4" ht="15.75" x14ac:dyDescent="0.25">
      <c r="D653" s="12" t="str">
        <f>IFERROR(VLOOKUP(A653,'⚖️ Balance à importer'!A:D,4,FALSE) - VLOOKUP(A653,'⚖️ Balance à importer'!A:D,3,FALSE), "")</f>
        <v/>
      </c>
    </row>
    <row r="654" spans="4:4" ht="15.75" x14ac:dyDescent="0.25">
      <c r="D654" s="12" t="str">
        <f>IFERROR(VLOOKUP(A654,'⚖️ Balance à importer'!A:D,4,FALSE) - VLOOKUP(A654,'⚖️ Balance à importer'!A:D,3,FALSE), "")</f>
        <v/>
      </c>
    </row>
    <row r="655" spans="4:4" ht="15.75" x14ac:dyDescent="0.25">
      <c r="D655" s="12" t="str">
        <f>IFERROR(VLOOKUP(A655,'⚖️ Balance à importer'!A:D,4,FALSE) - VLOOKUP(A655,'⚖️ Balance à importer'!A:D,3,FALSE), "")</f>
        <v/>
      </c>
    </row>
    <row r="656" spans="4:4" ht="15.75" x14ac:dyDescent="0.25">
      <c r="D656" s="12" t="str">
        <f>IFERROR(VLOOKUP(A656,'⚖️ Balance à importer'!A:D,4,FALSE) - VLOOKUP(A656,'⚖️ Balance à importer'!A:D,3,FALSE), "")</f>
        <v/>
      </c>
    </row>
    <row r="657" spans="4:4" ht="15.75" x14ac:dyDescent="0.25">
      <c r="D657" s="12" t="str">
        <f>IFERROR(VLOOKUP(A657,'⚖️ Balance à importer'!A:D,4,FALSE) - VLOOKUP(A657,'⚖️ Balance à importer'!A:D,3,FALSE), "")</f>
        <v/>
      </c>
    </row>
    <row r="658" spans="4:4" ht="15.75" x14ac:dyDescent="0.25">
      <c r="D658" s="12" t="str">
        <f>IFERROR(VLOOKUP(A658,'⚖️ Balance à importer'!A:D,4,FALSE) - VLOOKUP(A658,'⚖️ Balance à importer'!A:D,3,FALSE), "")</f>
        <v/>
      </c>
    </row>
    <row r="659" spans="4:4" ht="15.75" x14ac:dyDescent="0.25">
      <c r="D659" s="12" t="str">
        <f>IFERROR(VLOOKUP(A659,'⚖️ Balance à importer'!A:D,4,FALSE) - VLOOKUP(A659,'⚖️ Balance à importer'!A:D,3,FALSE), "")</f>
        <v/>
      </c>
    </row>
    <row r="660" spans="4:4" ht="15.75" x14ac:dyDescent="0.25">
      <c r="D660" s="12" t="str">
        <f>IFERROR(VLOOKUP(A660,'⚖️ Balance à importer'!A:D,4,FALSE) - VLOOKUP(A660,'⚖️ Balance à importer'!A:D,3,FALSE), "")</f>
        <v/>
      </c>
    </row>
    <row r="661" spans="4:4" ht="15.75" x14ac:dyDescent="0.25">
      <c r="D661" s="12" t="str">
        <f>IFERROR(VLOOKUP(A661,'⚖️ Balance à importer'!A:D,4,FALSE) - VLOOKUP(A661,'⚖️ Balance à importer'!A:D,3,FALSE), "")</f>
        <v/>
      </c>
    </row>
    <row r="662" spans="4:4" ht="15.75" x14ac:dyDescent="0.25">
      <c r="D662" s="12" t="str">
        <f>IFERROR(VLOOKUP(A662,'⚖️ Balance à importer'!A:D,4,FALSE) - VLOOKUP(A662,'⚖️ Balance à importer'!A:D,3,FALSE), "")</f>
        <v/>
      </c>
    </row>
    <row r="663" spans="4:4" ht="15.75" x14ac:dyDescent="0.25">
      <c r="D663" s="12" t="str">
        <f>IFERROR(VLOOKUP(A663,'⚖️ Balance à importer'!A:D,4,FALSE) - VLOOKUP(A663,'⚖️ Balance à importer'!A:D,3,FALSE), "")</f>
        <v/>
      </c>
    </row>
    <row r="664" spans="4:4" ht="15.75" x14ac:dyDescent="0.25">
      <c r="D664" s="12" t="str">
        <f>IFERROR(VLOOKUP(A664,'⚖️ Balance à importer'!A:D,4,FALSE) - VLOOKUP(A664,'⚖️ Balance à importer'!A:D,3,FALSE), "")</f>
        <v/>
      </c>
    </row>
    <row r="665" spans="4:4" ht="15.75" x14ac:dyDescent="0.25">
      <c r="D665" s="12" t="str">
        <f>IFERROR(VLOOKUP(A665,'⚖️ Balance à importer'!A:D,4,FALSE) - VLOOKUP(A665,'⚖️ Balance à importer'!A:D,3,FALSE), "")</f>
        <v/>
      </c>
    </row>
    <row r="666" spans="4:4" ht="15.75" x14ac:dyDescent="0.25">
      <c r="D666" s="12" t="str">
        <f>IFERROR(VLOOKUP(A666,'⚖️ Balance à importer'!A:D,4,FALSE) - VLOOKUP(A666,'⚖️ Balance à importer'!A:D,3,FALSE), "")</f>
        <v/>
      </c>
    </row>
    <row r="667" spans="4:4" ht="15.75" x14ac:dyDescent="0.25">
      <c r="D667" s="12" t="str">
        <f>IFERROR(VLOOKUP(A667,'⚖️ Balance à importer'!A:D,4,FALSE) - VLOOKUP(A667,'⚖️ Balance à importer'!A:D,3,FALSE), "")</f>
        <v/>
      </c>
    </row>
    <row r="668" spans="4:4" ht="15.75" x14ac:dyDescent="0.25">
      <c r="D668" s="12" t="str">
        <f>IFERROR(VLOOKUP(A668,'⚖️ Balance à importer'!A:D,4,FALSE) - VLOOKUP(A668,'⚖️ Balance à importer'!A:D,3,FALSE), "")</f>
        <v/>
      </c>
    </row>
    <row r="669" spans="4:4" ht="15.75" x14ac:dyDescent="0.25">
      <c r="D669" s="12" t="str">
        <f>IFERROR(VLOOKUP(A669,'⚖️ Balance à importer'!A:D,4,FALSE) - VLOOKUP(A669,'⚖️ Balance à importer'!A:D,3,FALSE), "")</f>
        <v/>
      </c>
    </row>
    <row r="670" spans="4:4" ht="15.75" x14ac:dyDescent="0.25">
      <c r="D670" s="12" t="str">
        <f>IFERROR(VLOOKUP(A670,'⚖️ Balance à importer'!A:D,4,FALSE) - VLOOKUP(A670,'⚖️ Balance à importer'!A:D,3,FALSE), "")</f>
        <v/>
      </c>
    </row>
    <row r="671" spans="4:4" ht="15.75" x14ac:dyDescent="0.25">
      <c r="D671" s="12" t="str">
        <f>IFERROR(VLOOKUP(A671,'⚖️ Balance à importer'!A:D,4,FALSE) - VLOOKUP(A671,'⚖️ Balance à importer'!A:D,3,FALSE), "")</f>
        <v/>
      </c>
    </row>
    <row r="672" spans="4:4" ht="15.75" x14ac:dyDescent="0.25">
      <c r="D672" s="12" t="str">
        <f>IFERROR(VLOOKUP(A672,'⚖️ Balance à importer'!A:D,4,FALSE) - VLOOKUP(A672,'⚖️ Balance à importer'!A:D,3,FALSE), "")</f>
        <v/>
      </c>
    </row>
    <row r="673" spans="4:4" ht="15.75" x14ac:dyDescent="0.25">
      <c r="D673" s="12" t="str">
        <f>IFERROR(VLOOKUP(A673,'⚖️ Balance à importer'!A:D,4,FALSE) - VLOOKUP(A673,'⚖️ Balance à importer'!A:D,3,FALSE), "")</f>
        <v/>
      </c>
    </row>
    <row r="674" spans="4:4" ht="15.75" x14ac:dyDescent="0.25">
      <c r="D674" s="12" t="str">
        <f>IFERROR(VLOOKUP(A674,'⚖️ Balance à importer'!A:D,4,FALSE) - VLOOKUP(A674,'⚖️ Balance à importer'!A:D,3,FALSE), "")</f>
        <v/>
      </c>
    </row>
    <row r="675" spans="4:4" ht="15.75" x14ac:dyDescent="0.25">
      <c r="D675" s="12" t="str">
        <f>IFERROR(VLOOKUP(A675,'⚖️ Balance à importer'!A:D,4,FALSE) - VLOOKUP(A675,'⚖️ Balance à importer'!A:D,3,FALSE), "")</f>
        <v/>
      </c>
    </row>
    <row r="676" spans="4:4" ht="15.75" x14ac:dyDescent="0.25">
      <c r="D676" s="12" t="str">
        <f>IFERROR(VLOOKUP(A676,'⚖️ Balance à importer'!A:D,4,FALSE) - VLOOKUP(A676,'⚖️ Balance à importer'!A:D,3,FALSE), "")</f>
        <v/>
      </c>
    </row>
    <row r="677" spans="4:4" ht="15.75" x14ac:dyDescent="0.25">
      <c r="D677" s="12" t="str">
        <f>IFERROR(VLOOKUP(A677,'⚖️ Balance à importer'!A:D,4,FALSE) - VLOOKUP(A677,'⚖️ Balance à importer'!A:D,3,FALSE), "")</f>
        <v/>
      </c>
    </row>
    <row r="678" spans="4:4" ht="15.75" x14ac:dyDescent="0.25">
      <c r="D678" s="12" t="str">
        <f>IFERROR(VLOOKUP(A678,'⚖️ Balance à importer'!A:D,4,FALSE) - VLOOKUP(A678,'⚖️ Balance à importer'!A:D,3,FALSE), "")</f>
        <v/>
      </c>
    </row>
    <row r="679" spans="4:4" ht="15.75" x14ac:dyDescent="0.25">
      <c r="D679" s="12" t="str">
        <f>IFERROR(VLOOKUP(A679,'⚖️ Balance à importer'!A:D,4,FALSE) - VLOOKUP(A679,'⚖️ Balance à importer'!A:D,3,FALSE), "")</f>
        <v/>
      </c>
    </row>
    <row r="680" spans="4:4" ht="15.75" x14ac:dyDescent="0.25">
      <c r="D680" s="12" t="str">
        <f>IFERROR(VLOOKUP(A680,'⚖️ Balance à importer'!A:D,4,FALSE) - VLOOKUP(A680,'⚖️ Balance à importer'!A:D,3,FALSE), "")</f>
        <v/>
      </c>
    </row>
    <row r="681" spans="4:4" ht="15.75" x14ac:dyDescent="0.25">
      <c r="D681" s="12" t="str">
        <f>IFERROR(VLOOKUP(A681,'⚖️ Balance à importer'!A:D,4,FALSE) - VLOOKUP(A681,'⚖️ Balance à importer'!A:D,3,FALSE), "")</f>
        <v/>
      </c>
    </row>
    <row r="682" spans="4:4" ht="15.75" x14ac:dyDescent="0.25">
      <c r="D682" s="12" t="str">
        <f>IFERROR(VLOOKUP(A682,'⚖️ Balance à importer'!A:D,4,FALSE) - VLOOKUP(A682,'⚖️ Balance à importer'!A:D,3,FALSE), "")</f>
        <v/>
      </c>
    </row>
    <row r="683" spans="4:4" ht="15.75" x14ac:dyDescent="0.25">
      <c r="D683" s="12" t="str">
        <f>IFERROR(VLOOKUP(A683,'⚖️ Balance à importer'!A:D,4,FALSE) - VLOOKUP(A683,'⚖️ Balance à importer'!A:D,3,FALSE), "")</f>
        <v/>
      </c>
    </row>
    <row r="684" spans="4:4" ht="15.75" x14ac:dyDescent="0.25">
      <c r="D684" s="12" t="str">
        <f>IFERROR(VLOOKUP(A684,'⚖️ Balance à importer'!A:D,4,FALSE) - VLOOKUP(A684,'⚖️ Balance à importer'!A:D,3,FALSE), "")</f>
        <v/>
      </c>
    </row>
    <row r="685" spans="4:4" ht="15.75" x14ac:dyDescent="0.25">
      <c r="D685" s="12" t="str">
        <f>IFERROR(VLOOKUP(A685,'⚖️ Balance à importer'!A:D,4,FALSE) - VLOOKUP(A685,'⚖️ Balance à importer'!A:D,3,FALSE), "")</f>
        <v/>
      </c>
    </row>
    <row r="686" spans="4:4" ht="15.75" x14ac:dyDescent="0.25">
      <c r="D686" s="12" t="str">
        <f>IFERROR(VLOOKUP(A686,'⚖️ Balance à importer'!A:D,4,FALSE) - VLOOKUP(A686,'⚖️ Balance à importer'!A:D,3,FALSE), "")</f>
        <v/>
      </c>
    </row>
    <row r="687" spans="4:4" ht="15.75" x14ac:dyDescent="0.25">
      <c r="D687" s="12" t="str">
        <f>IFERROR(VLOOKUP(A687,'⚖️ Balance à importer'!A:D,4,FALSE) - VLOOKUP(A687,'⚖️ Balance à importer'!A:D,3,FALSE), "")</f>
        <v/>
      </c>
    </row>
    <row r="688" spans="4:4" ht="15.75" x14ac:dyDescent="0.25">
      <c r="D688" s="12" t="str">
        <f>IFERROR(VLOOKUP(A688,'⚖️ Balance à importer'!A:D,4,FALSE) - VLOOKUP(A688,'⚖️ Balance à importer'!A:D,3,FALSE), "")</f>
        <v/>
      </c>
    </row>
    <row r="689" spans="4:4" ht="15.75" x14ac:dyDescent="0.25">
      <c r="D689" s="12" t="str">
        <f>IFERROR(VLOOKUP(A689,'⚖️ Balance à importer'!A:D,4,FALSE) - VLOOKUP(A689,'⚖️ Balance à importer'!A:D,3,FALSE), "")</f>
        <v/>
      </c>
    </row>
    <row r="690" spans="4:4" ht="15.75" x14ac:dyDescent="0.25">
      <c r="D690" s="12" t="str">
        <f>IFERROR(VLOOKUP(A690,'⚖️ Balance à importer'!A:D,4,FALSE) - VLOOKUP(A690,'⚖️ Balance à importer'!A:D,3,FALSE), "")</f>
        <v/>
      </c>
    </row>
    <row r="691" spans="4:4" ht="15.75" x14ac:dyDescent="0.25">
      <c r="D691" s="12" t="str">
        <f>IFERROR(VLOOKUP(A691,'⚖️ Balance à importer'!A:D,4,FALSE) - VLOOKUP(A691,'⚖️ Balance à importer'!A:D,3,FALSE), "")</f>
        <v/>
      </c>
    </row>
    <row r="692" spans="4:4" ht="15.75" x14ac:dyDescent="0.25">
      <c r="D692" s="12" t="str">
        <f>IFERROR(VLOOKUP(A692,'⚖️ Balance à importer'!A:D,4,FALSE) - VLOOKUP(A692,'⚖️ Balance à importer'!A:D,3,FALSE), "")</f>
        <v/>
      </c>
    </row>
    <row r="693" spans="4:4" ht="15.75" x14ac:dyDescent="0.25">
      <c r="D693" s="12" t="str">
        <f>IFERROR(VLOOKUP(A693,'⚖️ Balance à importer'!A:D,4,FALSE) - VLOOKUP(A693,'⚖️ Balance à importer'!A:D,3,FALSE), "")</f>
        <v/>
      </c>
    </row>
    <row r="694" spans="4:4" ht="15.75" x14ac:dyDescent="0.25">
      <c r="D694" s="12" t="str">
        <f>IFERROR(VLOOKUP(A694,'⚖️ Balance à importer'!A:D,4,FALSE) - VLOOKUP(A694,'⚖️ Balance à importer'!A:D,3,FALSE), "")</f>
        <v/>
      </c>
    </row>
    <row r="695" spans="4:4" ht="15.75" x14ac:dyDescent="0.25">
      <c r="D695" s="12" t="str">
        <f>IFERROR(VLOOKUP(A695,'⚖️ Balance à importer'!A:D,4,FALSE) - VLOOKUP(A695,'⚖️ Balance à importer'!A:D,3,FALSE), "")</f>
        <v/>
      </c>
    </row>
    <row r="696" spans="4:4" ht="15.75" x14ac:dyDescent="0.25">
      <c r="D696" s="12" t="str">
        <f>IFERROR(VLOOKUP(A696,'⚖️ Balance à importer'!A:D,4,FALSE) - VLOOKUP(A696,'⚖️ Balance à importer'!A:D,3,FALSE), "")</f>
        <v/>
      </c>
    </row>
    <row r="697" spans="4:4" ht="15.75" x14ac:dyDescent="0.25">
      <c r="D697" s="12" t="str">
        <f>IFERROR(VLOOKUP(A697,'⚖️ Balance à importer'!A:D,4,FALSE) - VLOOKUP(A697,'⚖️ Balance à importer'!A:D,3,FALSE), "")</f>
        <v/>
      </c>
    </row>
    <row r="698" spans="4:4" ht="15.75" x14ac:dyDescent="0.25">
      <c r="D698" s="12" t="str">
        <f>IFERROR(VLOOKUP(A698,'⚖️ Balance à importer'!A:D,4,FALSE) - VLOOKUP(A698,'⚖️ Balance à importer'!A:D,3,FALSE), "")</f>
        <v/>
      </c>
    </row>
    <row r="699" spans="4:4" ht="15.75" x14ac:dyDescent="0.25">
      <c r="D699" s="12" t="str">
        <f>IFERROR(VLOOKUP(A699,'⚖️ Balance à importer'!A:D,4,FALSE) - VLOOKUP(A699,'⚖️ Balance à importer'!A:D,3,FALSE), "")</f>
        <v/>
      </c>
    </row>
    <row r="700" spans="4:4" ht="15.75" x14ac:dyDescent="0.25">
      <c r="D700" s="12" t="str">
        <f>IFERROR(VLOOKUP(A700,'⚖️ Balance à importer'!A:D,4,FALSE) - VLOOKUP(A700,'⚖️ Balance à importer'!A:D,3,FALSE), "")</f>
        <v/>
      </c>
    </row>
    <row r="701" spans="4:4" ht="15.75" x14ac:dyDescent="0.25">
      <c r="D701" s="12" t="str">
        <f>IFERROR(VLOOKUP(A701,'⚖️ Balance à importer'!A:D,4,FALSE) - VLOOKUP(A701,'⚖️ Balance à importer'!A:D,3,FALSE), "")</f>
        <v/>
      </c>
    </row>
    <row r="702" spans="4:4" ht="15.75" x14ac:dyDescent="0.25">
      <c r="D702" s="12" t="str">
        <f>IFERROR(VLOOKUP(A702,'⚖️ Balance à importer'!A:D,4,FALSE) - VLOOKUP(A702,'⚖️ Balance à importer'!A:D,3,FALSE), "")</f>
        <v/>
      </c>
    </row>
    <row r="703" spans="4:4" ht="15.75" x14ac:dyDescent="0.25">
      <c r="D703" s="12" t="str">
        <f>IFERROR(VLOOKUP(A703,'⚖️ Balance à importer'!A:D,4,FALSE) - VLOOKUP(A703,'⚖️ Balance à importer'!A:D,3,FALSE), "")</f>
        <v/>
      </c>
    </row>
    <row r="704" spans="4:4" ht="15.75" x14ac:dyDescent="0.25">
      <c r="D704" s="12" t="str">
        <f>IFERROR(VLOOKUP(A704,'⚖️ Balance à importer'!A:D,4,FALSE) - VLOOKUP(A704,'⚖️ Balance à importer'!A:D,3,FALSE), "")</f>
        <v/>
      </c>
    </row>
    <row r="705" spans="4:4" ht="15.75" x14ac:dyDescent="0.25">
      <c r="D705" s="12" t="str">
        <f>IFERROR(VLOOKUP(A705,'⚖️ Balance à importer'!A:D,4,FALSE) - VLOOKUP(A705,'⚖️ Balance à importer'!A:D,3,FALSE), "")</f>
        <v/>
      </c>
    </row>
  </sheetData>
  <sheetProtection sheet="1" selectLockedCells="1" selectUnlockedCells="1"/>
  <mergeCells count="6">
    <mergeCell ref="A6:C6"/>
    <mergeCell ref="A1:D1"/>
    <mergeCell ref="A2:C2"/>
    <mergeCell ref="A3:C3"/>
    <mergeCell ref="A4:C4"/>
    <mergeCell ref="A5:C5"/>
  </mergeCells>
  <pageMargins left="0.75" right="0.75" top="1" bottom="1" header="0.5" footer="0.5"/>
  <pageSetup paperSize="9" scale="1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FA8072"/>
  </sheetPr>
  <dimension ref="A1:C27"/>
  <sheetViews>
    <sheetView showGridLines="0" workbookViewId="0">
      <selection activeCell="B13" sqref="B13"/>
    </sheetView>
  </sheetViews>
  <sheetFormatPr baseColWidth="10" defaultColWidth="9.140625" defaultRowHeight="15" x14ac:dyDescent="0.25"/>
  <cols>
    <col min="1" max="1" width="77.7109375" bestFit="1" customWidth="1"/>
    <col min="2" max="3" width="18.7109375" customWidth="1"/>
  </cols>
  <sheetData>
    <row r="1" spans="1:3" ht="57" customHeight="1" x14ac:dyDescent="0.25">
      <c r="A1" s="65" t="s">
        <v>184</v>
      </c>
      <c r="B1" s="65"/>
      <c r="C1" s="65"/>
    </row>
    <row r="3" spans="1:3" ht="37.5" customHeight="1" x14ac:dyDescent="0.25">
      <c r="A3" s="5" t="s">
        <v>185</v>
      </c>
      <c r="B3" s="66" t="s">
        <v>162</v>
      </c>
      <c r="C3" s="66"/>
    </row>
    <row r="4" spans="1:3" ht="16.5" customHeight="1" x14ac:dyDescent="0.25">
      <c r="A4" s="7" t="s">
        <v>186</v>
      </c>
      <c r="B4" s="67">
        <f>SUM('⚖️ Balance à importer'!D4:D1000)-SUM('⚖️ Balance à importer'!C4:C1000)</f>
        <v>0</v>
      </c>
      <c r="C4" s="67"/>
    </row>
    <row r="5" spans="1:3" ht="16.5" customHeight="1" x14ac:dyDescent="0.25">
      <c r="A5" s="7" t="s">
        <v>187</v>
      </c>
      <c r="B5" s="67" cm="1">
        <f t="array" ref="B5">SUMPRODUCT((LEFT('⚖️ Balance à importer'!$A$4:$A$1000,1)="7")*('⚖️ Balance à importer'!$G$4:$G$1000="NT")*('⚖️ Balance à importer'!$C$4:$C$1000))
-
SUMPRODUCT((LEFT('⚖️ Balance à importer'!$A$4:$A$1000,1)="7")*('⚖️ Balance à importer'!$G$4:$G$1000="NT")*('⚖️ Balance à importer'!$D$4:$D$1000))</f>
        <v>0</v>
      </c>
      <c r="C5" s="67"/>
    </row>
    <row r="6" spans="1:3" ht="16.5" customHeight="1" x14ac:dyDescent="0.25">
      <c r="A6" s="29" t="s">
        <v>188</v>
      </c>
      <c r="B6" s="67" cm="1">
        <f t="array" ref="B6">(SUMPRODUCT((LEFT('⚖️ Balance à importer'!$A$4:$A$1000,1)="7")*('⚖️ Balance à importer'!$G$4:$G$1000="M")*('⚖️ Balance à importer'!$C$4:$C$1000))
-
SUMPRODUCT((LEFT('⚖️ Balance à importer'!$A$4:$A$1000,1)="7")*('⚖️ Balance à importer'!$G$4:$G$1000="M")*('⚖️ Balance à importer'!$D$4:$D$1000)))/3</f>
        <v>0</v>
      </c>
      <c r="C6" s="67"/>
    </row>
    <row r="7" spans="1:3" ht="16.5" customHeight="1" x14ac:dyDescent="0.25">
      <c r="A7" s="7" t="s">
        <v>189</v>
      </c>
      <c r="B7" s="67" cm="1">
        <f t="array" ref="B7">SUMPRODUCT((LEFT('⚖️ Balance à importer'!$A$4:$A$1000,1)="6")*('⚖️ Balance à importer'!$G$4:$G$1000="NT")*('⚖️ Balance à importer'!$C$4:$C$1000))
-
SUMPRODUCT((LEFT('⚖️ Balance à importer'!$A$4:$A$1000,1)="6")*('⚖️ Balance à importer'!$G$4:$G$1000="NT")*('⚖️ Balance à importer'!$D$4:$D$1000))</f>
        <v>0</v>
      </c>
      <c r="C7" s="67"/>
    </row>
    <row r="8" spans="1:3" ht="16.5" customHeight="1" x14ac:dyDescent="0.25">
      <c r="A8" s="29" t="s">
        <v>190</v>
      </c>
      <c r="B8" s="67" cm="1">
        <f t="array" ref="B8">(SUMPRODUCT((LEFT('⚖️ Balance à importer'!$A$4:$A$1000,1)="6")*('⚖️ Balance à importer'!$G$4:$G$1000="M")*('⚖️ Balance à importer'!$C$4:$C$1000))
-
SUMPRODUCT((LEFT('⚖️ Balance à importer'!$A$4:$A$1000,1)="6")*('⚖️ Balance à importer'!$G$4:$G$1000="M")*('⚖️ Balance à importer'!$D$4:$D$1000)))/3</f>
        <v>0</v>
      </c>
      <c r="C8" s="67"/>
    </row>
    <row r="9" spans="1:3" ht="16.5" customHeight="1" x14ac:dyDescent="0.25">
      <c r="A9" s="9"/>
      <c r="B9" s="69"/>
      <c r="C9" s="69"/>
    </row>
    <row r="10" spans="1:3" ht="16.5" customHeight="1" x14ac:dyDescent="0.25">
      <c r="A10" s="14" t="s">
        <v>191</v>
      </c>
      <c r="B10" s="70">
        <f>B4+B5+B6+B7+B8</f>
        <v>0</v>
      </c>
      <c r="C10" s="70"/>
    </row>
    <row r="11" spans="1:3" ht="16.5" customHeight="1" x14ac:dyDescent="0.25">
      <c r="A11" s="9"/>
      <c r="B11" s="15"/>
      <c r="C11" s="9"/>
    </row>
    <row r="12" spans="1:3" ht="16.5" customHeight="1" x14ac:dyDescent="0.3">
      <c r="A12" s="16" t="s">
        <v>192</v>
      </c>
      <c r="B12" s="17" t="s">
        <v>193</v>
      </c>
      <c r="C12" s="18" t="s">
        <v>194</v>
      </c>
    </row>
    <row r="13" spans="1:3" ht="16.5" customHeight="1" x14ac:dyDescent="0.25">
      <c r="A13" s="7" t="s">
        <v>195</v>
      </c>
      <c r="B13" s="24"/>
      <c r="C13" s="24"/>
    </row>
    <row r="14" spans="1:3" ht="16.5" customHeight="1" x14ac:dyDescent="0.25">
      <c r="A14" s="7" t="s">
        <v>196</v>
      </c>
      <c r="B14" s="24"/>
      <c r="C14" s="24"/>
    </row>
    <row r="15" spans="1:3" ht="16.5" customHeight="1" x14ac:dyDescent="0.25">
      <c r="A15" s="7" t="s">
        <v>197</v>
      </c>
      <c r="B15" s="24"/>
      <c r="C15" s="24"/>
    </row>
    <row r="16" spans="1:3" ht="16.5" customHeight="1" x14ac:dyDescent="0.25">
      <c r="A16" s="7" t="s">
        <v>198</v>
      </c>
      <c r="B16" s="24"/>
      <c r="C16" s="24"/>
    </row>
    <row r="17" spans="1:3" ht="16.5" customHeight="1" x14ac:dyDescent="0.25">
      <c r="A17" s="22" t="s">
        <v>199</v>
      </c>
      <c r="B17" s="24"/>
      <c r="C17" s="24"/>
    </row>
    <row r="18" spans="1:3" ht="16.5" customHeight="1" x14ac:dyDescent="0.25">
      <c r="A18" s="22" t="s">
        <v>199</v>
      </c>
      <c r="B18" s="24"/>
      <c r="C18" s="24"/>
    </row>
    <row r="19" spans="1:3" ht="16.5" customHeight="1" x14ac:dyDescent="0.25">
      <c r="A19" s="22" t="s">
        <v>199</v>
      </c>
      <c r="B19" s="24"/>
      <c r="C19" s="24"/>
    </row>
    <row r="20" spans="1:3" ht="16.5" customHeight="1" x14ac:dyDescent="0.25">
      <c r="A20" s="22" t="s">
        <v>199</v>
      </c>
      <c r="B20" s="24"/>
      <c r="C20" s="24"/>
    </row>
    <row r="21" spans="1:3" ht="16.5" customHeight="1" x14ac:dyDescent="0.25">
      <c r="A21" s="22" t="s">
        <v>199</v>
      </c>
      <c r="B21" s="24"/>
      <c r="C21" s="24"/>
    </row>
    <row r="22" spans="1:3" ht="16.5" customHeight="1" x14ac:dyDescent="0.25">
      <c r="A22" s="22" t="s">
        <v>199</v>
      </c>
      <c r="B22" s="24"/>
      <c r="C22" s="24"/>
    </row>
    <row r="23" spans="1:3" ht="16.5" customHeight="1" x14ac:dyDescent="0.25">
      <c r="A23" s="22" t="s">
        <v>199</v>
      </c>
      <c r="B23" s="24"/>
      <c r="C23" s="24"/>
    </row>
    <row r="24" spans="1:3" ht="16.5" customHeight="1" x14ac:dyDescent="0.25">
      <c r="A24" s="22" t="s">
        <v>199</v>
      </c>
      <c r="B24" s="24"/>
      <c r="C24" s="24"/>
    </row>
    <row r="25" spans="1:3" ht="16.5" customHeight="1" x14ac:dyDescent="0.25">
      <c r="A25" s="19" t="s">
        <v>200</v>
      </c>
      <c r="B25" s="23">
        <f>SUM(B13:B24)</f>
        <v>0</v>
      </c>
      <c r="C25" s="23">
        <f>SUM(C13:C24)</f>
        <v>0</v>
      </c>
    </row>
    <row r="26" spans="1:3" ht="6" customHeight="1" thickBot="1" x14ac:dyDescent="0.3">
      <c r="A26" s="20"/>
      <c r="B26" s="68"/>
      <c r="C26" s="68"/>
    </row>
    <row r="27" spans="1:3" ht="19.5" thickBot="1" x14ac:dyDescent="0.35">
      <c r="A27" s="25" t="s">
        <v>201</v>
      </c>
      <c r="B27" s="63">
        <f>B10+B25-C25</f>
        <v>0</v>
      </c>
      <c r="C27" s="64"/>
    </row>
  </sheetData>
  <sheetProtection sheet="1" formatCells="0" selectLockedCells="1"/>
  <mergeCells count="11">
    <mergeCell ref="B27:C27"/>
    <mergeCell ref="A1:C1"/>
    <mergeCell ref="B3:C3"/>
    <mergeCell ref="B4:C4"/>
    <mergeCell ref="B5:C5"/>
    <mergeCell ref="B6:C6"/>
    <mergeCell ref="B26:C26"/>
    <mergeCell ref="B7:C7"/>
    <mergeCell ref="B8:C8"/>
    <mergeCell ref="B9:C9"/>
    <mergeCell ref="B10:C10"/>
  </mergeCells>
  <dataValidations count="1">
    <dataValidation type="decimal" errorStyle="warning" allowBlank="1" showInputMessage="1" showErrorMessage="1" errorTitle="Attention" error="Merci de saisir des chiffres." sqref="B13:C24" xr:uid="{CF3B8AA2-88F4-4AB8-84D1-5B3D432E361E}">
      <formula1>-99999999999999</formula1>
      <formula2>99999999999999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📘 Notice</vt:lpstr>
      <vt:lpstr>📄 Exemple PCG</vt:lpstr>
      <vt:lpstr>🧱 Plan comptable source</vt:lpstr>
      <vt:lpstr>⚖️ Balance à importer</vt:lpstr>
      <vt:lpstr>➗ Coefficient de déduction</vt:lpstr>
      <vt:lpstr>💶 Coefficient taxe salaire</vt:lpstr>
      <vt:lpstr>📈 Résultat Fiscal - Corrigé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Laura GOMBAUD</dc:creator>
  <cp:keywords/>
  <dc:description/>
  <cp:lastModifiedBy>Laura GOMBAUD</cp:lastModifiedBy>
  <cp:revision/>
  <dcterms:created xsi:type="dcterms:W3CDTF">2025-04-20T12:57:32Z</dcterms:created>
  <dcterms:modified xsi:type="dcterms:W3CDTF">2025-08-12T17:08:19Z</dcterms:modified>
  <cp:category/>
  <cp:contentStatus/>
</cp:coreProperties>
</file>