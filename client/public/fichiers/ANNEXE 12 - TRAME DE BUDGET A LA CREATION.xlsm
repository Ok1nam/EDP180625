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219295cocerto-my.sharepoint.com/personal/lgombaud_cocerto_fr/Documents/SAUVEGARDE LOCAL LG/MEMOIRE DEC/MEMOIRE/ANNEXE/ANNEXE 12 - TRAME DU BUDGET A LA CREATION/"/>
    </mc:Choice>
  </mc:AlternateContent>
  <xr:revisionPtr revIDLastSave="326" documentId="8_{BEBD1618-7A15-4074-B0CE-C208743B84D7}" xr6:coauthVersionLast="47" xr6:coauthVersionMax="47" xr10:uidLastSave="{B537E2CE-E574-48F1-905D-8197A05F49C4}"/>
  <bookViews>
    <workbookView xWindow="-120" yWindow="-120" windowWidth="29040" windowHeight="17520" tabRatio="800" xr2:uid="{D6E1E3FD-2D88-4685-9034-084D80B0A1C0}"/>
  </bookViews>
  <sheets>
    <sheet name="📘 Notice" sheetId="10" r:id="rId1"/>
    <sheet name="🏠 Page de garde" sheetId="9" r:id="rId2"/>
    <sheet name="💡 Hypothèses" sheetId="1" r:id="rId3"/>
    <sheet name="🏗️ Investissements sur 8 ans" sheetId="2" r:id="rId4"/>
    <sheet name="⚙️ Exploitation sur 8 ans" sheetId="3" r:id="rId5"/>
    <sheet name="💶 Trésorerie sur 8 ans" sheetId="6" r:id="rId6"/>
    <sheet name="📊 États financiers sur 8 ans" sheetId="7" r:id="rId7"/>
    <sheet name="🧾 Synthèse" sheetId="5" r:id="rId8"/>
  </sheets>
  <definedNames>
    <definedName name="_xleta.EXP" hidden="1" xlm="1">#NAME?</definedName>
    <definedName name="_xlnm.Print_Area" localSheetId="4">'⚙️ Exploitation sur 8 ans'!$A$1:$J$84</definedName>
    <definedName name="_xlnm.Print_Area" localSheetId="3">'🏗️ Investissements sur 8 ans'!$A$1:$J$56</definedName>
    <definedName name="_xlnm.Print_Area" localSheetId="2">'💡 Hypothèses'!$A$1:$J$40</definedName>
    <definedName name="_xlnm.Print_Area" localSheetId="5">'💶 Trésorerie sur 8 ans'!$A$1:$J$29</definedName>
    <definedName name="_xlnm.Print_Area" localSheetId="6">'📊 États financiers sur 8 ans'!$A$1:$J$44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2" l="1"/>
  <c r="B33" i="2"/>
  <c r="B28" i="2"/>
  <c r="B23" i="2"/>
  <c r="B17" i="2"/>
  <c r="B16" i="2"/>
  <c r="B9" i="2"/>
  <c r="B40" i="1"/>
  <c r="D35" i="1"/>
  <c r="E35" i="1"/>
  <c r="F35" i="1"/>
  <c r="G35" i="1"/>
  <c r="H35" i="1"/>
  <c r="I35" i="1"/>
  <c r="J35" i="1"/>
  <c r="C35" i="1"/>
  <c r="C39" i="1"/>
  <c r="C40" i="1" s="1"/>
  <c r="D39" i="1"/>
  <c r="D40" i="1" s="1"/>
  <c r="E39" i="1"/>
  <c r="E40" i="1" s="1"/>
  <c r="F39" i="1"/>
  <c r="F40" i="1" s="1"/>
  <c r="G39" i="1"/>
  <c r="G40" i="1" s="1"/>
  <c r="H39" i="1"/>
  <c r="H40" i="1" s="1"/>
  <c r="I39" i="1"/>
  <c r="I40" i="1" s="1"/>
  <c r="J39" i="1"/>
  <c r="J40" i="1" s="1"/>
  <c r="I20" i="6"/>
  <c r="B42" i="2" l="1"/>
  <c r="B23" i="3"/>
  <c r="C63" i="3"/>
  <c r="C9" i="2"/>
  <c r="D9" i="2"/>
  <c r="E9" i="2"/>
  <c r="F9" i="2"/>
  <c r="G9" i="2"/>
  <c r="H9" i="2"/>
  <c r="I9" i="2"/>
  <c r="J9" i="2"/>
  <c r="D38" i="7"/>
  <c r="E38" i="7"/>
  <c r="F38" i="7"/>
  <c r="G38" i="7"/>
  <c r="H38" i="7"/>
  <c r="I38" i="7"/>
  <c r="J38" i="7"/>
  <c r="B38" i="7"/>
  <c r="C32" i="7"/>
  <c r="C41" i="7" s="1"/>
  <c r="C42" i="7" s="1"/>
  <c r="D32" i="7"/>
  <c r="D41" i="7" s="1"/>
  <c r="D42" i="7" s="1"/>
  <c r="E32" i="7"/>
  <c r="E41" i="7" s="1"/>
  <c r="E42" i="7" s="1"/>
  <c r="B32" i="7"/>
  <c r="B41" i="7" s="1"/>
  <c r="B42" i="7" s="1"/>
  <c r="B23" i="7"/>
  <c r="B24" i="7" s="1"/>
  <c r="B5" i="7"/>
  <c r="B52" i="2" l="1"/>
  <c r="B51" i="2"/>
  <c r="C14" i="6"/>
  <c r="C20" i="6"/>
  <c r="D20" i="6"/>
  <c r="E20" i="6"/>
  <c r="F20" i="6"/>
  <c r="G20" i="6"/>
  <c r="H20" i="6"/>
  <c r="J20" i="6"/>
  <c r="B20" i="6"/>
  <c r="C11" i="6"/>
  <c r="D37" i="2"/>
  <c r="E37" i="2"/>
  <c r="F37" i="2"/>
  <c r="G37" i="2"/>
  <c r="H37" i="2"/>
  <c r="I37" i="2"/>
  <c r="J37" i="2"/>
  <c r="D33" i="2"/>
  <c r="E33" i="2"/>
  <c r="F33" i="2"/>
  <c r="G33" i="2"/>
  <c r="H33" i="2"/>
  <c r="I33" i="2"/>
  <c r="J33" i="2"/>
  <c r="D28" i="2"/>
  <c r="E28" i="2"/>
  <c r="F28" i="2"/>
  <c r="G28" i="2"/>
  <c r="H28" i="2"/>
  <c r="I28" i="2"/>
  <c r="J28" i="2"/>
  <c r="D23" i="2"/>
  <c r="E23" i="2"/>
  <c r="F23" i="2"/>
  <c r="G23" i="2"/>
  <c r="H23" i="2"/>
  <c r="I23" i="2"/>
  <c r="J23" i="2"/>
  <c r="D17" i="2"/>
  <c r="E17" i="2"/>
  <c r="F17" i="2"/>
  <c r="G17" i="2"/>
  <c r="H17" i="2"/>
  <c r="I17" i="2"/>
  <c r="J17" i="2"/>
  <c r="C37" i="2"/>
  <c r="C33" i="2"/>
  <c r="C28" i="2"/>
  <c r="C23" i="2"/>
  <c r="C17" i="2"/>
  <c r="C46" i="3"/>
  <c r="C18" i="7" s="1"/>
  <c r="D46" i="3"/>
  <c r="D18" i="7" s="1"/>
  <c r="E46" i="3"/>
  <c r="E18" i="7" s="1"/>
  <c r="F46" i="3"/>
  <c r="F18" i="7" s="1"/>
  <c r="G46" i="3"/>
  <c r="G18" i="7" s="1"/>
  <c r="H46" i="3"/>
  <c r="H18" i="7" s="1"/>
  <c r="I46" i="3"/>
  <c r="I18" i="7" s="1"/>
  <c r="J46" i="3"/>
  <c r="J18" i="7" s="1"/>
  <c r="B46" i="3"/>
  <c r="B18" i="7" s="1"/>
  <c r="B54" i="2" l="1"/>
  <c r="B56" i="2" s="1"/>
  <c r="D16" i="2"/>
  <c r="E16" i="2"/>
  <c r="E42" i="2" s="1"/>
  <c r="G16" i="2"/>
  <c r="G42" i="2" s="1"/>
  <c r="F16" i="2"/>
  <c r="F42" i="2" s="1"/>
  <c r="F51" i="2" s="1"/>
  <c r="C16" i="2"/>
  <c r="C42" i="2" s="1"/>
  <c r="J16" i="2"/>
  <c r="I16" i="2"/>
  <c r="I42" i="2" s="1"/>
  <c r="H16" i="2"/>
  <c r="H42" i="2" s="1"/>
  <c r="H51" i="2" s="1"/>
  <c r="H12" i="6"/>
  <c r="C38" i="7"/>
  <c r="F12" i="6"/>
  <c r="F13" i="6" s="1"/>
  <c r="C13" i="6"/>
  <c r="D13" i="6"/>
  <c r="E13" i="6"/>
  <c r="D16" i="6"/>
  <c r="F15" i="6"/>
  <c r="J15" i="6"/>
  <c r="I15" i="6"/>
  <c r="H15" i="6"/>
  <c r="G15" i="6"/>
  <c r="C16" i="6"/>
  <c r="E16" i="6"/>
  <c r="I12" i="6"/>
  <c r="G12" i="6"/>
  <c r="J12" i="6"/>
  <c r="I52" i="2"/>
  <c r="I51" i="2"/>
  <c r="I54" i="2" s="1"/>
  <c r="I56" i="2" s="1"/>
  <c r="H52" i="2"/>
  <c r="F52" i="2"/>
  <c r="E52" i="2"/>
  <c r="E51" i="2"/>
  <c r="E54" i="2" s="1"/>
  <c r="E56" i="2" s="1"/>
  <c r="D42" i="2"/>
  <c r="J42" i="2"/>
  <c r="H54" i="2" l="1"/>
  <c r="H56" i="2" s="1"/>
  <c r="J32" i="7"/>
  <c r="J41" i="7" s="1"/>
  <c r="J42" i="7" s="1"/>
  <c r="G32" i="7"/>
  <c r="G41" i="7" s="1"/>
  <c r="G42" i="7" s="1"/>
  <c r="I32" i="7"/>
  <c r="I41" i="7" s="1"/>
  <c r="I42" i="7" s="1"/>
  <c r="F32" i="7"/>
  <c r="F41" i="7" s="1"/>
  <c r="F42" i="7" s="1"/>
  <c r="G13" i="6"/>
  <c r="H32" i="7"/>
  <c r="H41" i="7" s="1"/>
  <c r="H42" i="7" s="1"/>
  <c r="C23" i="7"/>
  <c r="C24" i="7" s="1"/>
  <c r="D23" i="7"/>
  <c r="D24" i="7" s="1"/>
  <c r="E23" i="7"/>
  <c r="E24" i="7" s="1"/>
  <c r="G16" i="6"/>
  <c r="F16" i="6"/>
  <c r="F23" i="7" s="1"/>
  <c r="F24" i="7" s="1"/>
  <c r="J16" i="6"/>
  <c r="I16" i="6"/>
  <c r="H16" i="6"/>
  <c r="J13" i="6"/>
  <c r="I13" i="6"/>
  <c r="H13" i="6"/>
  <c r="J52" i="2"/>
  <c r="J51" i="2"/>
  <c r="D52" i="2"/>
  <c r="D51" i="2"/>
  <c r="D54" i="2" s="1"/>
  <c r="D56" i="2" s="1"/>
  <c r="F54" i="2"/>
  <c r="F56" i="2" s="1"/>
  <c r="G51" i="2"/>
  <c r="G52" i="2"/>
  <c r="H23" i="7" l="1"/>
  <c r="H24" i="7" s="1"/>
  <c r="I23" i="7"/>
  <c r="I24" i="7" s="1"/>
  <c r="J23" i="7"/>
  <c r="J24" i="7" s="1"/>
  <c r="G23" i="7"/>
  <c r="G24" i="7" s="1"/>
  <c r="G54" i="2"/>
  <c r="G56" i="2" s="1"/>
  <c r="J54" i="2"/>
  <c r="J56" i="2" s="1"/>
  <c r="B59" i="3" l="1"/>
  <c r="B8" i="7" s="1"/>
  <c r="B62" i="3"/>
  <c r="B9" i="7" s="1"/>
  <c r="B66" i="3"/>
  <c r="B10" i="7" s="1"/>
  <c r="D63" i="3"/>
  <c r="E63" i="3"/>
  <c r="F63" i="3"/>
  <c r="G63" i="3"/>
  <c r="H63" i="3"/>
  <c r="I63" i="3"/>
  <c r="J63" i="3"/>
  <c r="B13" i="7" l="1"/>
  <c r="C23" i="3"/>
  <c r="C13" i="7" s="1"/>
  <c r="D23" i="3"/>
  <c r="D13" i="7" s="1"/>
  <c r="E23" i="3"/>
  <c r="E13" i="7" s="1"/>
  <c r="F23" i="3"/>
  <c r="F13" i="7" s="1"/>
  <c r="G23" i="3"/>
  <c r="G13" i="7" s="1"/>
  <c r="H23" i="3"/>
  <c r="H13" i="7" s="1"/>
  <c r="I23" i="3"/>
  <c r="I13" i="7" s="1"/>
  <c r="J23" i="3"/>
  <c r="J13" i="7" s="1"/>
  <c r="B19" i="3"/>
  <c r="C19" i="3"/>
  <c r="D19" i="3"/>
  <c r="E19" i="3"/>
  <c r="F19" i="3"/>
  <c r="G19" i="3"/>
  <c r="H19" i="3"/>
  <c r="I19" i="3"/>
  <c r="J19" i="3"/>
  <c r="B20" i="3"/>
  <c r="C20" i="3"/>
  <c r="D20" i="3"/>
  <c r="E20" i="3"/>
  <c r="F20" i="3"/>
  <c r="G20" i="3"/>
  <c r="H20" i="3"/>
  <c r="I20" i="3"/>
  <c r="J20" i="3"/>
  <c r="B21" i="3"/>
  <c r="C21" i="3"/>
  <c r="D21" i="3"/>
  <c r="E21" i="3"/>
  <c r="F21" i="3"/>
  <c r="G21" i="3"/>
  <c r="H21" i="3"/>
  <c r="I21" i="3"/>
  <c r="J21" i="3"/>
  <c r="C18" i="3"/>
  <c r="D18" i="3"/>
  <c r="E18" i="3"/>
  <c r="F18" i="3"/>
  <c r="G18" i="3"/>
  <c r="H18" i="3"/>
  <c r="I18" i="3"/>
  <c r="J18" i="3"/>
  <c r="B18" i="3"/>
  <c r="D64" i="3"/>
  <c r="D62" i="3" s="1"/>
  <c r="D9" i="7" s="1"/>
  <c r="E64" i="3"/>
  <c r="E62" i="3" s="1"/>
  <c r="E9" i="7" s="1"/>
  <c r="F64" i="3"/>
  <c r="F62" i="3" s="1"/>
  <c r="F9" i="7" s="1"/>
  <c r="G64" i="3"/>
  <c r="G62" i="3" s="1"/>
  <c r="G9" i="7" s="1"/>
  <c r="H64" i="3"/>
  <c r="H62" i="3" s="1"/>
  <c r="H9" i="7" s="1"/>
  <c r="I64" i="3"/>
  <c r="I62" i="3" s="1"/>
  <c r="I9" i="7" s="1"/>
  <c r="J64" i="3"/>
  <c r="J62" i="3" s="1"/>
  <c r="J9" i="7" s="1"/>
  <c r="C64" i="3"/>
  <c r="C62" i="3" s="1"/>
  <c r="C9" i="7" s="1"/>
  <c r="F9" i="3" l="1"/>
  <c r="A19" i="3"/>
  <c r="A20" i="3"/>
  <c r="A21" i="3"/>
  <c r="A18" i="3"/>
  <c r="B40" i="3"/>
  <c r="B17" i="7" s="1"/>
  <c r="C40" i="3"/>
  <c r="C17" i="7" s="1"/>
  <c r="D40" i="3"/>
  <c r="D17" i="7" s="1"/>
  <c r="E40" i="3"/>
  <c r="E17" i="7" s="1"/>
  <c r="F40" i="3"/>
  <c r="F17" i="7" s="1"/>
  <c r="G40" i="3"/>
  <c r="G17" i="7" s="1"/>
  <c r="H40" i="3"/>
  <c r="H17" i="7" s="1"/>
  <c r="I40" i="3"/>
  <c r="I17" i="7" s="1"/>
  <c r="J40" i="3"/>
  <c r="J17" i="7" s="1"/>
  <c r="C12" i="3"/>
  <c r="C78" i="3" s="1"/>
  <c r="C73" i="3" s="1"/>
  <c r="C11" i="7" s="1"/>
  <c r="B12" i="3"/>
  <c r="B78" i="3" s="1"/>
  <c r="B73" i="3" s="1"/>
  <c r="J11" i="3"/>
  <c r="I11" i="3"/>
  <c r="H11" i="3"/>
  <c r="G11" i="3"/>
  <c r="F11" i="3"/>
  <c r="E11" i="3"/>
  <c r="D11" i="3"/>
  <c r="C11" i="3"/>
  <c r="B11" i="3"/>
  <c r="J10" i="3"/>
  <c r="I10" i="3"/>
  <c r="H10" i="3"/>
  <c r="G10" i="3"/>
  <c r="F10" i="3"/>
  <c r="E10" i="3"/>
  <c r="D10" i="3"/>
  <c r="C10" i="3"/>
  <c r="B10" i="3"/>
  <c r="J9" i="3"/>
  <c r="I9" i="3"/>
  <c r="H9" i="3"/>
  <c r="G9" i="3"/>
  <c r="E9" i="3"/>
  <c r="D9" i="3"/>
  <c r="B9" i="3"/>
  <c r="C9" i="3"/>
  <c r="D12" i="3"/>
  <c r="D78" i="3" s="1"/>
  <c r="D73" i="3" s="1"/>
  <c r="D11" i="7" s="1"/>
  <c r="E12" i="3"/>
  <c r="E78" i="3" s="1"/>
  <c r="E73" i="3" s="1"/>
  <c r="E11" i="7" s="1"/>
  <c r="F12" i="3"/>
  <c r="F78" i="3" s="1"/>
  <c r="F73" i="3" s="1"/>
  <c r="F11" i="7" s="1"/>
  <c r="G12" i="3"/>
  <c r="G78" i="3" s="1"/>
  <c r="G73" i="3" s="1"/>
  <c r="G11" i="7" s="1"/>
  <c r="H12" i="3"/>
  <c r="H78" i="3" s="1"/>
  <c r="H73" i="3" s="1"/>
  <c r="H11" i="7" s="1"/>
  <c r="I12" i="3"/>
  <c r="I78" i="3" s="1"/>
  <c r="I73" i="3" s="1"/>
  <c r="I11" i="7" s="1"/>
  <c r="J12" i="3"/>
  <c r="J78" i="3" s="1"/>
  <c r="J73" i="3" s="1"/>
  <c r="J11" i="7" s="1"/>
  <c r="B8" i="3" l="1"/>
  <c r="B15" i="7" s="1"/>
  <c r="B80" i="3"/>
  <c r="B11" i="7"/>
  <c r="B12" i="7" s="1"/>
  <c r="D8" i="3"/>
  <c r="C8" i="3"/>
  <c r="E8" i="3"/>
  <c r="G8" i="3"/>
  <c r="H8" i="3"/>
  <c r="I8" i="3"/>
  <c r="F8" i="3"/>
  <c r="J8" i="3"/>
  <c r="B14" i="7" l="1"/>
  <c r="B16" i="7"/>
  <c r="B19" i="7"/>
  <c r="B21" i="7" s="1"/>
  <c r="B26" i="7" s="1"/>
  <c r="B31" i="7" s="1"/>
  <c r="B52" i="3"/>
  <c r="B82" i="3" s="1"/>
  <c r="B8" i="6" s="1"/>
  <c r="B10" i="6" s="1"/>
  <c r="J52" i="3"/>
  <c r="J15" i="7"/>
  <c r="F52" i="3"/>
  <c r="F15" i="7"/>
  <c r="I52" i="3"/>
  <c r="I15" i="7"/>
  <c r="H52" i="3"/>
  <c r="H15" i="7"/>
  <c r="G52" i="3"/>
  <c r="G15" i="7"/>
  <c r="E52" i="3"/>
  <c r="E15" i="7"/>
  <c r="C52" i="3"/>
  <c r="C9" i="6" s="1"/>
  <c r="C15" i="7"/>
  <c r="D52" i="3"/>
  <c r="D15" i="7"/>
  <c r="J34" i="1"/>
  <c r="J5" i="7" s="1"/>
  <c r="I34" i="1"/>
  <c r="I5" i="7" s="1"/>
  <c r="H34" i="1"/>
  <c r="H5" i="7" s="1"/>
  <c r="G34" i="1"/>
  <c r="G5" i="7" s="1"/>
  <c r="F34" i="1"/>
  <c r="F5" i="7" s="1"/>
  <c r="E34" i="1"/>
  <c r="E5" i="7" s="1"/>
  <c r="D34" i="1"/>
  <c r="C34" i="1"/>
  <c r="D19" i="7" l="1"/>
  <c r="J19" i="7"/>
  <c r="C19" i="7"/>
  <c r="E19" i="7"/>
  <c r="G19" i="7"/>
  <c r="H19" i="7"/>
  <c r="I19" i="7"/>
  <c r="F19" i="7"/>
  <c r="B18" i="6"/>
  <c r="B29" i="6" s="1"/>
  <c r="B84" i="3"/>
  <c r="B39" i="7"/>
  <c r="B40" i="7" s="1"/>
  <c r="B43" i="7" s="1"/>
  <c r="B44" i="7" s="1"/>
  <c r="B33" i="7"/>
  <c r="C67" i="3"/>
  <c r="C5" i="7"/>
  <c r="D67" i="3"/>
  <c r="D5" i="7"/>
  <c r="E68" i="3"/>
  <c r="E67" i="3"/>
  <c r="F68" i="3"/>
  <c r="F67" i="3"/>
  <c r="G67" i="3"/>
  <c r="G68" i="3"/>
  <c r="H67" i="3"/>
  <c r="H68" i="3"/>
  <c r="I67" i="3"/>
  <c r="I68" i="3"/>
  <c r="J67" i="3"/>
  <c r="J68" i="3"/>
  <c r="C60" i="3"/>
  <c r="C59" i="3" s="1"/>
  <c r="C8" i="7" s="1"/>
  <c r="C68" i="3"/>
  <c r="I60" i="3"/>
  <c r="I59" i="3" s="1"/>
  <c r="I8" i="7" s="1"/>
  <c r="J60" i="3"/>
  <c r="J59" i="3" s="1"/>
  <c r="J8" i="7" s="1"/>
  <c r="H60" i="3"/>
  <c r="H59" i="3" s="1"/>
  <c r="H8" i="7" s="1"/>
  <c r="E60" i="3"/>
  <c r="E59" i="3" s="1"/>
  <c r="E8" i="7" s="1"/>
  <c r="F60" i="3"/>
  <c r="F59" i="3" s="1"/>
  <c r="F8" i="7" s="1"/>
  <c r="G60" i="3"/>
  <c r="G59" i="3" s="1"/>
  <c r="G8" i="7" s="1"/>
  <c r="D60" i="3"/>
  <c r="D59" i="3" s="1"/>
  <c r="D8" i="7" s="1"/>
  <c r="D68" i="3"/>
  <c r="G66" i="3" l="1"/>
  <c r="G10" i="7" s="1"/>
  <c r="G12" i="7" s="1"/>
  <c r="C66" i="3"/>
  <c r="C10" i="7" s="1"/>
  <c r="C12" i="7" s="1"/>
  <c r="F66" i="3"/>
  <c r="F10" i="7" s="1"/>
  <c r="F12" i="7" s="1"/>
  <c r="D66" i="3"/>
  <c r="D10" i="7" s="1"/>
  <c r="D12" i="7" s="1"/>
  <c r="E66" i="3"/>
  <c r="H66" i="3"/>
  <c r="I66" i="3"/>
  <c r="J66" i="3"/>
  <c r="D16" i="7" l="1"/>
  <c r="D14" i="7"/>
  <c r="F16" i="7"/>
  <c r="F14" i="7"/>
  <c r="C16" i="7"/>
  <c r="C14" i="7"/>
  <c r="G16" i="7"/>
  <c r="G14" i="7"/>
  <c r="C21" i="7"/>
  <c r="C26" i="7" s="1"/>
  <c r="C31" i="7" s="1"/>
  <c r="C33" i="7" s="1"/>
  <c r="D21" i="7"/>
  <c r="D26" i="7" s="1"/>
  <c r="D31" i="7" s="1"/>
  <c r="D33" i="7" s="1"/>
  <c r="F21" i="7"/>
  <c r="F26" i="7" s="1"/>
  <c r="F31" i="7" s="1"/>
  <c r="F33" i="7" s="1"/>
  <c r="G21" i="7"/>
  <c r="G26" i="7" s="1"/>
  <c r="G31" i="7" s="1"/>
  <c r="G33" i="7" s="1"/>
  <c r="G80" i="3"/>
  <c r="G82" i="3" s="1"/>
  <c r="G8" i="6" s="1"/>
  <c r="C80" i="3"/>
  <c r="C82" i="3" s="1"/>
  <c r="C8" i="6" s="1"/>
  <c r="D80" i="3"/>
  <c r="D82" i="3" s="1"/>
  <c r="D8" i="6" s="1"/>
  <c r="F80" i="3"/>
  <c r="F82" i="3" s="1"/>
  <c r="F8" i="6" s="1"/>
  <c r="J80" i="3"/>
  <c r="J82" i="3" s="1"/>
  <c r="J8" i="6" s="1"/>
  <c r="J10" i="7"/>
  <c r="J12" i="7" s="1"/>
  <c r="I80" i="3"/>
  <c r="I82" i="3" s="1"/>
  <c r="I8" i="6" s="1"/>
  <c r="I10" i="7"/>
  <c r="I12" i="7" s="1"/>
  <c r="H80" i="3"/>
  <c r="H82" i="3" s="1"/>
  <c r="H8" i="6" s="1"/>
  <c r="H10" i="7"/>
  <c r="H12" i="7" s="1"/>
  <c r="E80" i="3"/>
  <c r="E82" i="3" s="1"/>
  <c r="E8" i="6" s="1"/>
  <c r="E10" i="7"/>
  <c r="E12" i="7" s="1"/>
  <c r="C10" i="6" l="1"/>
  <c r="C29" i="6"/>
  <c r="D29" i="6" s="1"/>
  <c r="E29" i="6" s="1"/>
  <c r="F29" i="6" s="1"/>
  <c r="G29" i="6"/>
  <c r="H29" i="6" s="1"/>
  <c r="I29" i="6" s="1"/>
  <c r="J29" i="6" s="1"/>
  <c r="G39" i="7"/>
  <c r="G40" i="7" s="1"/>
  <c r="G43" i="7" s="1"/>
  <c r="J14" i="7"/>
  <c r="J16" i="7"/>
  <c r="E16" i="7"/>
  <c r="E14" i="7"/>
  <c r="H14" i="7"/>
  <c r="H16" i="7"/>
  <c r="I14" i="7"/>
  <c r="I16" i="7"/>
  <c r="C39" i="7"/>
  <c r="C40" i="7" s="1"/>
  <c r="C43" i="7" s="1"/>
  <c r="C44" i="7" s="1"/>
  <c r="F39" i="7"/>
  <c r="F40" i="7" s="1"/>
  <c r="F43" i="7" s="1"/>
  <c r="D39" i="7"/>
  <c r="D40" i="7" s="1"/>
  <c r="D43" i="7" s="1"/>
  <c r="E21" i="7"/>
  <c r="E26" i="7" s="1"/>
  <c r="E31" i="7" s="1"/>
  <c r="E39" i="7" s="1"/>
  <c r="E40" i="7" s="1"/>
  <c r="E43" i="7" s="1"/>
  <c r="H21" i="7"/>
  <c r="H26" i="7" s="1"/>
  <c r="H31" i="7" s="1"/>
  <c r="H33" i="7" s="1"/>
  <c r="I21" i="7"/>
  <c r="I26" i="7" s="1"/>
  <c r="I31" i="7" s="1"/>
  <c r="I33" i="7" s="1"/>
  <c r="J21" i="7"/>
  <c r="J26" i="7" s="1"/>
  <c r="J31" i="7" s="1"/>
  <c r="J33" i="7" s="1"/>
  <c r="C18" i="6"/>
  <c r="D18" i="6" s="1"/>
  <c r="E18" i="6" s="1"/>
  <c r="F18" i="6" s="1"/>
  <c r="G18" i="6" s="1"/>
  <c r="H18" i="6" s="1"/>
  <c r="I18" i="6" s="1"/>
  <c r="J18" i="6" s="1"/>
  <c r="C84" i="3"/>
  <c r="D84" i="3" s="1"/>
  <c r="E84" i="3" s="1"/>
  <c r="F84" i="3" s="1"/>
  <c r="G84" i="3" s="1"/>
  <c r="H84" i="3" s="1"/>
  <c r="I84" i="3" s="1"/>
  <c r="J84" i="3" s="1"/>
  <c r="C52" i="2"/>
  <c r="C51" i="2"/>
  <c r="D44" i="7" l="1"/>
  <c r="E44" i="7" s="1"/>
  <c r="F44" i="7" s="1"/>
  <c r="G44" i="7" s="1"/>
  <c r="J39" i="7"/>
  <c r="J40" i="7" s="1"/>
  <c r="J43" i="7" s="1"/>
  <c r="I39" i="7"/>
  <c r="I40" i="7" s="1"/>
  <c r="I43" i="7" s="1"/>
  <c r="E33" i="7"/>
  <c r="H39" i="7"/>
  <c r="H40" i="7" s="1"/>
  <c r="H43" i="7" s="1"/>
  <c r="D10" i="6"/>
  <c r="E10" i="6" s="1"/>
  <c r="F10" i="6" s="1"/>
  <c r="G10" i="6" s="1"/>
  <c r="H10" i="6" s="1"/>
  <c r="I10" i="6" s="1"/>
  <c r="J10" i="6" s="1"/>
  <c r="C54" i="2"/>
  <c r="C56" i="2" s="1"/>
  <c r="H44" i="7" l="1"/>
  <c r="I44" i="7" s="1"/>
  <c r="J44" i="7" s="1"/>
</calcChain>
</file>

<file path=xl/sharedStrings.xml><?xml version="1.0" encoding="utf-8"?>
<sst xmlns="http://schemas.openxmlformats.org/spreadsheetml/2006/main" count="533" uniqueCount="337">
  <si>
    <t>NOTICE</t>
  </si>
  <si>
    <t>⚠️ PRÉREQUIS IMPORTANTS</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</si>
  <si>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</si>
  <si>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</si>
  <si>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</si>
  <si>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</si>
  <si>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r>
      <t xml:space="preserve">Cette annexe a été conçue comme un </t>
    </r>
    <r>
      <rPr>
        <b/>
        <sz val="12"/>
        <color theme="1"/>
        <rFont val="Calibri"/>
        <family val="2"/>
      </rPr>
      <t>outil de projection budgétaire à long terme</t>
    </r>
    <r>
      <rPr>
        <sz val="12"/>
        <color theme="1"/>
        <rFont val="Calibri"/>
        <family val="2"/>
      </rPr>
      <t xml:space="preserve"> lors de la création, permettant d’évaluer la viabilité financière d’une école de production sur une période de 8 ans.</t>
    </r>
  </si>
  <si>
    <t>Elle vise à :</t>
  </si>
  <si>
    <r>
      <t>• Anticiper les investissements techniques</t>
    </r>
    <r>
      <rPr>
        <sz val="12"/>
        <color theme="1"/>
        <rFont val="Calibri"/>
        <family val="2"/>
      </rPr>
      <t>, en les ordonnant dans le temps selon les besoins réels ;</t>
    </r>
  </si>
  <si>
    <r>
      <t>• Modéliser les charges RH et de fonctionnement</t>
    </r>
    <r>
      <rPr>
        <sz val="12"/>
        <color theme="1"/>
        <rFont val="Calibri"/>
        <family val="2"/>
      </rPr>
      <t>, en lien avec la montée en charge progressive de l'activité ;</t>
    </r>
  </si>
  <si>
    <r>
      <t>• Structurer un budget soutenable</t>
    </r>
    <r>
      <rPr>
        <sz val="12"/>
        <color theme="1"/>
        <rFont val="Calibri"/>
        <family val="2"/>
      </rPr>
      <t>, adapté au contexte local, au métier choisi et aux rythmes de déploiement.</t>
    </r>
  </si>
  <si>
    <t>🧱 Construction de l’outil</t>
  </si>
  <si>
    <r>
      <t xml:space="preserve">Le fichier est structuré en plusieurs onglets, chacun correspondant à une </t>
    </r>
    <r>
      <rPr>
        <b/>
        <sz val="12"/>
        <color theme="1"/>
        <rFont val="Calibri"/>
        <family val="2"/>
      </rPr>
      <t>étape essentielle</t>
    </r>
    <r>
      <rPr>
        <sz val="12"/>
        <color theme="1"/>
        <rFont val="Calibri"/>
        <family val="2"/>
      </rPr>
      <t xml:space="preserve"> de la construction d’un </t>
    </r>
    <r>
      <rPr>
        <b/>
        <sz val="12"/>
        <color theme="1"/>
        <rFont val="Calibri"/>
        <family val="2"/>
      </rPr>
      <t>budget prévisionnel</t>
    </r>
    <r>
      <rPr>
        <sz val="12"/>
        <color theme="1"/>
        <rFont val="Calibri"/>
        <family val="2"/>
      </rPr>
      <t xml:space="preserve"> pluriannuel pour une école de production. Ces onglets interconnectés permettent d’élaborer un </t>
    </r>
    <r>
      <rPr>
        <b/>
        <sz val="12"/>
        <color theme="1"/>
        <rFont val="Calibri"/>
        <family val="2"/>
      </rPr>
      <t>modèle financier</t>
    </r>
    <r>
      <rPr>
        <sz val="12"/>
        <color theme="1"/>
        <rFont val="Calibri"/>
        <family val="2"/>
      </rPr>
      <t xml:space="preserve"> cohérent, adapté aux spécificités de chaque projet.</t>
    </r>
  </si>
  <si>
    <t>🏠 Page de garde</t>
  </si>
  <si>
    <t>Centralise les informations générales relatives au projet d’ouverture.</t>
  </si>
  <si>
    <t>💡 Hypothèses</t>
  </si>
  <si>
    <r>
      <t xml:space="preserve">Regroupe l’ensemble des </t>
    </r>
    <r>
      <rPr>
        <b/>
        <sz val="12"/>
        <color theme="1"/>
        <rFont val="Calibri"/>
        <family val="2"/>
      </rPr>
      <t>paramètres à renseigner</t>
    </r>
    <r>
      <rPr>
        <sz val="12"/>
        <color theme="1"/>
        <rFont val="Calibri"/>
        <family val="2"/>
      </rPr>
      <t xml:space="preserve"> pour personnaliser l’outil : nombre de semaines scolaires, volume horaire par élève, effectifs prévus, </t>
    </r>
    <r>
      <rPr>
        <b/>
        <sz val="12"/>
        <color theme="1"/>
        <rFont val="Calibri"/>
        <family val="2"/>
      </rPr>
      <t>salaires de référence</t>
    </r>
    <r>
      <rPr>
        <sz val="12"/>
        <color theme="1"/>
        <rFont val="Calibri"/>
        <family val="2"/>
      </rPr>
      <t xml:space="preserve">, production attendue par élève, participation des familles, niveaux de </t>
    </r>
    <r>
      <rPr>
        <b/>
        <sz val="12"/>
        <color theme="1"/>
        <rFont val="Calibri"/>
        <family val="2"/>
      </rPr>
      <t>subvention</t>
    </r>
    <r>
      <rPr>
        <sz val="12"/>
        <color theme="1"/>
        <rFont val="Calibri"/>
        <family val="2"/>
      </rPr>
      <t xml:space="preserve">, </t>
    </r>
    <r>
      <rPr>
        <b/>
        <sz val="12"/>
        <color theme="1"/>
        <rFont val="Calibri"/>
        <family val="2"/>
      </rPr>
      <t>taux d’inflation</t>
    </r>
    <r>
      <rPr>
        <sz val="12"/>
        <color theme="1"/>
        <rFont val="Calibri"/>
        <family val="2"/>
      </rPr>
      <t>, etc.</t>
    </r>
  </si>
  <si>
    <t>🏗️ Investissements sur 8 ans</t>
  </si>
  <si>
    <r>
      <t xml:space="preserve">Permet de </t>
    </r>
    <r>
      <rPr>
        <b/>
        <sz val="12"/>
        <color theme="1"/>
        <rFont val="Calibri"/>
        <family val="2"/>
      </rPr>
      <t>planifier les dépenses d’équipement</t>
    </r>
    <r>
      <rPr>
        <sz val="12"/>
        <color theme="1"/>
        <rFont val="Calibri"/>
        <family val="2"/>
      </rPr>
      <t xml:space="preserve"> et d’aménagement sur la durée. Il détaille les </t>
    </r>
    <r>
      <rPr>
        <b/>
        <sz val="12"/>
        <color theme="1"/>
        <rFont val="Calibri"/>
        <family val="2"/>
      </rPr>
      <t>immobilisations</t>
    </r>
    <r>
      <rPr>
        <sz val="12"/>
        <color theme="1"/>
        <rFont val="Calibri"/>
        <family val="2"/>
      </rPr>
      <t xml:space="preserve"> à prévoir selon les grandes catégories fonctionnelles (locaux, équipements de production, matériel pédagogique, véhicules, frais de création). Les investissements sont répartis par année, selon un </t>
    </r>
    <r>
      <rPr>
        <b/>
        <sz val="12"/>
        <color theme="1"/>
        <rFont val="Calibri"/>
        <family val="2"/>
      </rPr>
      <t>calendrier de déploiement réaliste</t>
    </r>
    <r>
      <rPr>
        <sz val="12"/>
        <color theme="1"/>
        <rFont val="Calibri"/>
        <family val="2"/>
      </rPr>
      <t>.</t>
    </r>
  </si>
  <si>
    <t>⚙️ Exploitation sur 8 ans</t>
  </si>
  <si>
    <r>
      <t xml:space="preserve">Présente les </t>
    </r>
    <r>
      <rPr>
        <b/>
        <sz val="12"/>
        <color theme="1"/>
        <rFont val="Calibri"/>
        <family val="2"/>
      </rPr>
      <t>charges et produits d’exploitation</t>
    </r>
    <r>
      <rPr>
        <sz val="12"/>
        <color theme="1"/>
        <rFont val="Calibri"/>
        <family val="2"/>
      </rPr>
      <t xml:space="preserve"> attendus année par année. On y retrouve la </t>
    </r>
    <r>
      <rPr>
        <b/>
        <sz val="12"/>
        <color theme="1"/>
        <rFont val="Calibri"/>
        <family val="2"/>
      </rPr>
      <t>masse salariale</t>
    </r>
    <r>
      <rPr>
        <sz val="12"/>
        <color theme="1"/>
        <rFont val="Calibri"/>
        <family val="2"/>
      </rPr>
      <t xml:space="preserve">, les charges de fonctionnement (loyers, fournitures, communication, assurances...), les </t>
    </r>
    <r>
      <rPr>
        <b/>
        <sz val="12"/>
        <color theme="1"/>
        <rFont val="Calibri"/>
        <family val="2"/>
      </rPr>
      <t>revenus issus des activités productives</t>
    </r>
    <r>
      <rPr>
        <sz val="12"/>
        <color theme="1"/>
        <rFont val="Calibri"/>
        <family val="2"/>
      </rPr>
      <t xml:space="preserve">, ainsi que les </t>
    </r>
    <r>
      <rPr>
        <b/>
        <sz val="12"/>
        <color theme="1"/>
        <rFont val="Calibri"/>
        <family val="2"/>
      </rPr>
      <t>subventions</t>
    </r>
    <r>
      <rPr>
        <sz val="12"/>
        <color theme="1"/>
        <rFont val="Calibri"/>
        <family val="2"/>
      </rPr>
      <t xml:space="preserve"> et </t>
    </r>
    <r>
      <rPr>
        <b/>
        <sz val="12"/>
        <color theme="1"/>
        <rFont val="Calibri"/>
        <family val="2"/>
      </rPr>
      <t>participations diverses</t>
    </r>
    <r>
      <rPr>
        <sz val="12"/>
        <color theme="1"/>
        <rFont val="Calibri"/>
        <family val="2"/>
      </rPr>
      <t xml:space="preserve">. Cet onglet constitue la base du </t>
    </r>
    <r>
      <rPr>
        <b/>
        <sz val="12"/>
        <color theme="1"/>
        <rFont val="Calibri"/>
        <family val="2"/>
      </rPr>
      <t>compte de résultat prévisionnel</t>
    </r>
    <r>
      <rPr>
        <sz val="12"/>
        <color theme="1"/>
        <rFont val="Calibri"/>
        <family val="2"/>
      </rPr>
      <t>.</t>
    </r>
  </si>
  <si>
    <t>💶 Trésorerie sur 8 ans</t>
  </si>
  <si>
    <r>
      <t xml:space="preserve">Permet d’évaluer la </t>
    </r>
    <r>
      <rPr>
        <b/>
        <sz val="12"/>
        <color theme="1"/>
        <rFont val="Calibri"/>
        <family val="2"/>
      </rPr>
      <t>capacité de l’établissement à faire face à ses besoins de liquidité</t>
    </r>
    <r>
      <rPr>
        <sz val="12"/>
        <color theme="1"/>
        <rFont val="Calibri"/>
        <family val="2"/>
      </rPr>
      <t xml:space="preserve">. Il reprend les </t>
    </r>
    <r>
      <rPr>
        <b/>
        <sz val="12"/>
        <color theme="1"/>
        <rFont val="Calibri"/>
        <family val="2"/>
      </rPr>
      <t>soldes d’exploitation</t>
    </r>
    <r>
      <rPr>
        <sz val="12"/>
        <color theme="1"/>
        <rFont val="Calibri"/>
        <family val="2"/>
      </rPr>
      <t xml:space="preserve"> et intègre les </t>
    </r>
    <r>
      <rPr>
        <b/>
        <sz val="12"/>
        <color theme="1"/>
        <rFont val="Calibri"/>
        <family val="2"/>
      </rPr>
      <t>financements complémentaires</t>
    </r>
    <r>
      <rPr>
        <sz val="12"/>
        <color theme="1"/>
        <rFont val="Calibri"/>
        <family val="2"/>
      </rPr>
      <t xml:space="preserve"> tels que les </t>
    </r>
    <r>
      <rPr>
        <b/>
        <sz val="12"/>
        <color theme="1"/>
        <rFont val="Calibri"/>
        <family val="2"/>
      </rPr>
      <t>prêts à taux réduit</t>
    </r>
    <r>
      <rPr>
        <sz val="12"/>
        <color theme="1"/>
        <rFont val="Calibri"/>
        <family val="2"/>
      </rPr>
      <t xml:space="preserve"> (Caisse des Dépôts, France Active). Il identifie les éventuels </t>
    </r>
    <r>
      <rPr>
        <b/>
        <sz val="12"/>
        <color theme="1"/>
        <rFont val="Calibri"/>
        <family val="2"/>
      </rPr>
      <t>besoins de trésorerie à combler</t>
    </r>
    <r>
      <rPr>
        <sz val="12"/>
        <color theme="1"/>
        <rFont val="Calibri"/>
        <family val="2"/>
      </rPr>
      <t>.</t>
    </r>
  </si>
  <si>
    <t xml:space="preserve"> 📈 États financiers sur 8 ans</t>
  </si>
  <si>
    <r>
      <t xml:space="preserve">Restitue une synthèse des </t>
    </r>
    <r>
      <rPr>
        <b/>
        <sz val="12"/>
        <color theme="1"/>
        <rFont val="Calibri"/>
        <family val="2"/>
      </rPr>
      <t>documents comptables essentiels</t>
    </r>
    <r>
      <rPr>
        <sz val="12"/>
        <color theme="1"/>
        <rFont val="Calibri"/>
        <family val="2"/>
      </rPr>
      <t xml:space="preserve"> : </t>
    </r>
    <r>
      <rPr>
        <b/>
        <sz val="12"/>
        <color theme="1"/>
        <rFont val="Calibri"/>
        <family val="2"/>
      </rPr>
      <t>compte de résultat</t>
    </r>
    <r>
      <rPr>
        <sz val="12"/>
        <color theme="1"/>
        <rFont val="Calibri"/>
        <family val="2"/>
      </rPr>
      <t xml:space="preserve">, </t>
    </r>
    <r>
      <rPr>
        <b/>
        <sz val="12"/>
        <color theme="1"/>
        <rFont val="Calibri"/>
        <family val="2"/>
      </rPr>
      <t>capacité d’autofinancement</t>
    </r>
    <r>
      <rPr>
        <sz val="12"/>
        <color theme="1"/>
        <rFont val="Calibri"/>
        <family val="2"/>
      </rPr>
      <t xml:space="preserve">, </t>
    </r>
    <r>
      <rPr>
        <b/>
        <sz val="12"/>
        <color theme="1"/>
        <rFont val="Calibri"/>
        <family val="2"/>
      </rPr>
      <t>tableau de financement</t>
    </r>
    <r>
      <rPr>
        <sz val="12"/>
        <color theme="1"/>
        <rFont val="Calibri"/>
        <family val="2"/>
      </rPr>
      <t xml:space="preserve">, variation du </t>
    </r>
    <r>
      <rPr>
        <b/>
        <sz val="12"/>
        <color theme="1"/>
        <rFont val="Calibri"/>
        <family val="2"/>
      </rPr>
      <t>fonds de roulement</t>
    </r>
    <r>
      <rPr>
        <sz val="12"/>
        <color theme="1"/>
        <rFont val="Calibri"/>
        <family val="2"/>
      </rPr>
      <t xml:space="preserve">. Il permet d’apprécier la </t>
    </r>
    <r>
      <rPr>
        <b/>
        <sz val="12"/>
        <color theme="1"/>
        <rFont val="Calibri"/>
        <family val="2"/>
      </rPr>
      <t>viabilité globale du projet</t>
    </r>
    <r>
      <rPr>
        <sz val="12"/>
        <color theme="1"/>
        <rFont val="Calibri"/>
        <family val="2"/>
      </rPr>
      <t xml:space="preserve"> à moyen terme et constitue une base de dialogue avec les partenaires </t>
    </r>
    <r>
      <rPr>
        <b/>
        <sz val="12"/>
        <color theme="1"/>
        <rFont val="Calibri"/>
        <family val="2"/>
      </rPr>
      <t>institutionnels et financiers</t>
    </r>
    <r>
      <rPr>
        <sz val="12"/>
        <color theme="1"/>
        <rFont val="Calibri"/>
        <family val="2"/>
      </rPr>
      <t>.</t>
    </r>
  </si>
  <si>
    <t>🧾 Synthèse</t>
  </si>
  <si>
    <r>
      <t xml:space="preserve">Génère automatiquement un </t>
    </r>
    <r>
      <rPr>
        <b/>
        <sz val="12"/>
        <color theme="1"/>
        <rFont val="Calibri"/>
        <family val="2"/>
      </rPr>
      <t>rapport PDF de présentation</t>
    </r>
  </si>
  <si>
    <r>
      <t xml:space="preserve">Chaque poste budgétaire est accompagné de colonnes </t>
    </r>
    <r>
      <rPr>
        <b/>
        <sz val="12"/>
        <color theme="1"/>
        <rFont val="Calibri"/>
        <family val="2"/>
      </rPr>
      <t>“Détail/Exemple”</t>
    </r>
    <r>
      <rPr>
        <sz val="12"/>
        <color theme="1"/>
        <rFont val="Calibri"/>
        <family val="2"/>
      </rPr>
      <t xml:space="preserve"> et </t>
    </r>
    <r>
      <rPr>
        <b/>
        <sz val="12"/>
        <color theme="1"/>
        <rFont val="Calibri"/>
        <family val="2"/>
      </rPr>
      <t>“Justificatif/Notes”</t>
    </r>
    <r>
      <rPr>
        <sz val="12"/>
        <color theme="1"/>
        <rFont val="Calibri"/>
        <family val="2"/>
      </rPr>
      <t xml:space="preserve"> permettant :</t>
    </r>
  </si>
  <si>
    <t>• de guider la saisie</t>
  </si>
  <si>
    <t>• d'expliciter la méthode de calcul</t>
  </si>
  <si>
    <t>• de garder une trace des hypothèses ou sources de données utilisées (devis, convention de subvention, etc.)</t>
  </si>
  <si>
    <t>🏗️ Traitement des investissements</t>
  </si>
  <si>
    <r>
      <t xml:space="preserve">Les </t>
    </r>
    <r>
      <rPr>
        <b/>
        <sz val="12"/>
        <color theme="1"/>
        <rFont val="Calibri"/>
        <family val="2"/>
      </rPr>
      <t>investissements</t>
    </r>
    <r>
      <rPr>
        <sz val="12"/>
        <color theme="1"/>
        <rFont val="Calibri"/>
        <family val="2"/>
      </rPr>
      <t xml:space="preserve"> (matériel, travaux, équipements…) sont supposés être </t>
    </r>
    <r>
      <rPr>
        <b/>
        <sz val="12"/>
        <color theme="1"/>
        <rFont val="Calibri"/>
        <family val="2"/>
      </rPr>
      <t>financés à 100 % par des subventions d’investissement</t>
    </r>
    <r>
      <rPr>
        <sz val="12"/>
        <color theme="1"/>
        <rFont val="Calibri"/>
        <family val="2"/>
      </rPr>
      <t xml:space="preserve">, </t>
    </r>
    <r>
      <rPr>
        <b/>
        <sz val="12"/>
        <color theme="1"/>
        <rFont val="Calibri"/>
        <family val="2"/>
      </rPr>
      <t>conformément au cadre fixé par la FNEP</t>
    </r>
    <r>
      <rPr>
        <sz val="12"/>
        <color theme="1"/>
        <rFont val="Calibri"/>
        <family val="2"/>
      </rPr>
      <t xml:space="preserve"> pour la structuration financière des projets. Aucun </t>
    </r>
    <r>
      <rPr>
        <b/>
        <sz val="12"/>
        <color theme="1"/>
        <rFont val="Calibri"/>
        <family val="2"/>
      </rPr>
      <t>autofinancement</t>
    </r>
    <r>
      <rPr>
        <sz val="12"/>
        <color theme="1"/>
        <rFont val="Calibri"/>
        <family val="2"/>
      </rPr>
      <t xml:space="preserve"> ni </t>
    </r>
    <r>
      <rPr>
        <b/>
        <sz val="12"/>
        <color theme="1"/>
        <rFont val="Calibri"/>
        <family val="2"/>
      </rPr>
      <t>emprunt</t>
    </r>
    <r>
      <rPr>
        <sz val="12"/>
        <color theme="1"/>
        <rFont val="Calibri"/>
        <family val="2"/>
      </rPr>
      <t xml:space="preserve"> n’est intégré dans le modèle. Les </t>
    </r>
    <r>
      <rPr>
        <b/>
        <sz val="12"/>
        <color theme="1"/>
        <rFont val="Calibri"/>
        <family val="2"/>
      </rPr>
      <t>subventions</t>
    </r>
    <r>
      <rPr>
        <sz val="12"/>
        <color theme="1"/>
        <rFont val="Calibri"/>
        <family val="2"/>
      </rPr>
      <t xml:space="preserve"> sont destinées à couvrir </t>
    </r>
    <r>
      <rPr>
        <b/>
        <sz val="12"/>
        <color theme="1"/>
        <rFont val="Calibri"/>
        <family val="2"/>
      </rPr>
      <t>l’intégralité du coût</t>
    </r>
    <r>
      <rPr>
        <sz val="12"/>
        <color theme="1"/>
        <rFont val="Calibri"/>
        <family val="2"/>
      </rPr>
      <t xml:space="preserve"> des </t>
    </r>
    <r>
      <rPr>
        <b/>
        <sz val="12"/>
        <color theme="1"/>
        <rFont val="Calibri"/>
        <family val="2"/>
      </rPr>
      <t>immobilisations engagées</t>
    </r>
    <r>
      <rPr>
        <sz val="12"/>
        <color theme="1"/>
        <rFont val="Calibri"/>
        <family val="2"/>
      </rPr>
      <t>.</t>
    </r>
  </si>
  <si>
    <t>🧮 Traitement des amortissements / Subventions d'investissement</t>
  </si>
  <si>
    <r>
      <t xml:space="preserve">Les amortissements ne sont </t>
    </r>
    <r>
      <rPr>
        <b/>
        <sz val="12"/>
        <color theme="1"/>
        <rFont val="Calibri"/>
        <family val="2"/>
      </rPr>
      <t>pas intégrés</t>
    </r>
    <r>
      <rPr>
        <sz val="12"/>
        <color theme="1"/>
        <rFont val="Calibri"/>
        <family val="2"/>
      </rPr>
      <t xml:space="preserve"> dans le compte de résultat. Cette approche est justifiée par le fait que les investissements sont totalement subventionnés. Il n’y a donc pas de besoin de comptabiliser une </t>
    </r>
    <r>
      <rPr>
        <b/>
        <sz val="12"/>
        <color theme="1"/>
        <rFont val="Calibri"/>
        <family val="2"/>
      </rPr>
      <t>quote-part de subvention d’investissement</t>
    </r>
    <r>
      <rPr>
        <sz val="12"/>
        <color theme="1"/>
        <rFont val="Calibri"/>
        <family val="2"/>
      </rPr>
      <t xml:space="preserve"> ou de dotation aux amortissements.</t>
    </r>
  </si>
  <si>
    <t>🧑‍🏫 Suivi des effectifs et RH</t>
  </si>
  <si>
    <t xml:space="preserve">Les effectifs élèves sont à renseigner pour chaque année. Ils permettent de dimensionner les besoins en masse salariale (encadrement pédagogique, administratif).
Le nombre d'élève par classe ne doit pas dépasser 14 à la demande de la FNEP. Dès lors que le nombre d'élève dépasse 14 pour une année et une même niveau de classe, il est alors considéré 2 classes d'élèves. </t>
  </si>
  <si>
    <t xml:space="preserve">BUDGET A LA CREATION
ECOLE DE PRODUCTION </t>
  </si>
  <si>
    <t>🏷 Nom de l'école :</t>
  </si>
  <si>
    <t>..........................................................................................</t>
  </si>
  <si>
    <t>📍 Zone géographique envisagée :</t>
  </si>
  <si>
    <t>🏭 Filière envisagée :</t>
  </si>
  <si>
    <t>📅 Période de l’étude :</t>
  </si>
  <si>
    <t>🖋 Porteur du projet :</t>
  </si>
  <si>
    <t>📞 Contact :</t>
  </si>
  <si>
    <t>✉️ Email :</t>
  </si>
  <si>
    <t>✍ Budget réalisé par :</t>
  </si>
  <si>
    <t>⚠️ Ce document est confidentiel et destiné exclusivement aux partenaires du projet.</t>
  </si>
  <si>
    <t>HYPOTHÈSES CLÉS ET DONNÉES PRÉLIMINAIRES</t>
  </si>
  <si>
    <t>Indicateurs Clés</t>
  </si>
  <si>
    <t>Données</t>
  </si>
  <si>
    <t>Notes / Hypothèses</t>
  </si>
  <si>
    <t>A. Données préliminaires</t>
  </si>
  <si>
    <t>Note: Les cases en jaune sont à compléter par vos soins, selon vos hypothèses</t>
  </si>
  <si>
    <t>Date de Lancement (Ouverture École)</t>
  </si>
  <si>
    <t>Date prévisionnelle de début des activités et d'accueil des élèves</t>
  </si>
  <si>
    <t>Nb de semaines d'enseignement/production par an</t>
  </si>
  <si>
    <t>Nombre de semaines passées à l'école sur une année par un apprenant (La moyenne constatée est de 42 semaines)</t>
  </si>
  <si>
    <t>Nb d'heures élève/semaine en atelier</t>
  </si>
  <si>
    <t>2/3 du temps hebdomadaire passé en production sur une base 35H</t>
  </si>
  <si>
    <t>Nb d'heures élève/semaine en matières générales</t>
  </si>
  <si>
    <t>1/3 du temps hebdomadaire passé à l'enseignement général sur une base 35H</t>
  </si>
  <si>
    <t>B. Données chiffrées</t>
  </si>
  <si>
    <t>Salaire brut annuel Directeur</t>
  </si>
  <si>
    <t>Salaire de référence Années 0 et 1 ; revalorisation annuelle à partir de l'Année 2 selon le taux d'inflation indiqué</t>
  </si>
  <si>
    <t>Salaire brut annuel Maître professionnel</t>
  </si>
  <si>
    <t>Salaire brut annuel Administratif</t>
  </si>
  <si>
    <t>Coût horaire vacataire enseignement général</t>
  </si>
  <si>
    <t>Coût horaire moyen d'un vacataire d'enseignement général en années 0 et 1, revalorisation annuelle à partir de l'Année 2 selon le taux d'inflation indiqué</t>
  </si>
  <si>
    <t>Taux de charges sociales moyen</t>
  </si>
  <si>
    <t>Taux moyen des charges patronales sur les salaires bruts</t>
  </si>
  <si>
    <t>Production moyenne d'un élève Niveau 1</t>
  </si>
  <si>
    <t>Valeur de la production annuelle H.T générée par un élève de Niveau 1</t>
  </si>
  <si>
    <t>Production moyenne d'un élève Niveau 2</t>
  </si>
  <si>
    <t>Valeur de la production annuelle H.T générée par un élève de Niveau 2</t>
  </si>
  <si>
    <t>Production moyenne d'un élève Niveau 3</t>
  </si>
  <si>
    <t>Valeur de la production annuelle H.T générée par un élève de Niveau 3</t>
  </si>
  <si>
    <t>Production moyenne d'un élève Niveau 4</t>
  </si>
  <si>
    <t>Valeur de la production annuelle H.T générée par un élève de Niveau 4</t>
  </si>
  <si>
    <t>Taux de marge brute applicable sur production élève</t>
  </si>
  <si>
    <t>Taux de marge moyen applicable sur l'activité de production des élèves</t>
  </si>
  <si>
    <t xml:space="preserve">Taux d'inflation appliqué </t>
  </si>
  <si>
    <t>Taux moyen d'inflation à appliquer</t>
  </si>
  <si>
    <t>Contributions financières demandées aux familles des élèves</t>
  </si>
  <si>
    <t>Montant forfaitaire annuel demandé comme participation aux familles par élève</t>
  </si>
  <si>
    <t>Montant minimum de la subvention régionale par élève</t>
  </si>
  <si>
    <t>Montant à confirmer par la région, moyenne école de production de 4250€ par élève</t>
  </si>
  <si>
    <t>Montant minimum de la subvention FNEP État par élève</t>
  </si>
  <si>
    <t>Montant à confirmer par la FNEP, moyenne école de production de 5100€ par élève</t>
  </si>
  <si>
    <t>Montant débloqué prêt Caisse des Dépôts et Consignation (CdC)</t>
  </si>
  <si>
    <t>Indiquer le montant actuel en accord avec la FNEP</t>
  </si>
  <si>
    <t>Taux d'intérêt prêt CdC</t>
  </si>
  <si>
    <t>Indiquer le taux actuel en accord avec la FNEP</t>
  </si>
  <si>
    <t>Montant débloqué prêt France Active - Prêt participatif</t>
  </si>
  <si>
    <t>Taux d'intérêt prêt France Active</t>
  </si>
  <si>
    <t>Année 0 - Etude de faisabilité</t>
  </si>
  <si>
    <t>Année 1</t>
  </si>
  <si>
    <t>Année 2</t>
  </si>
  <si>
    <t>Année 3</t>
  </si>
  <si>
    <t>Année 4</t>
  </si>
  <si>
    <t>Année 5</t>
  </si>
  <si>
    <t>Année 6</t>
  </si>
  <si>
    <t>Année 7</t>
  </si>
  <si>
    <t>Année 8</t>
  </si>
  <si>
    <t>A. Hypothèses sur 8 ans d'exploitation</t>
  </si>
  <si>
    <t>Nombre d'élèves niveau 1 (CAP 1 ou Bac Pro 1)</t>
  </si>
  <si>
    <t>Les effectifs par niveau sont ajustés pour prendre en compte les abandons ou réorientations. Une classe regroupe au maximum 14 élèves. Si un niveau dépasse ce seuil au cours d’une même année, plusieurs classes sont alors considérées :
jusqu’à 14 élèves → 1 classe / de 15 à 28 élèves → 2 classes / de 29 à 42 élèves → 3 classes, etc.</t>
  </si>
  <si>
    <t>Nombre d'élèves niveau 2 (CAP 2 ou Bac Pro 2)</t>
  </si>
  <si>
    <t>Nombre d'élèves niveau 3 (Bac Pro 1 ou Bac Pro 3)</t>
  </si>
  <si>
    <t>Nombre d'élèves niveau 4 (Bac Pro 2)</t>
  </si>
  <si>
    <t>Nombre total d'élèves</t>
  </si>
  <si>
    <t>Nombre total de classes</t>
  </si>
  <si>
    <t>Direction</t>
  </si>
  <si>
    <t>1 seul directeur par école de production</t>
  </si>
  <si>
    <t>Nombre de Maîtres professionnels</t>
  </si>
  <si>
    <t>Il est généralement recommandé de prévoir 1 ETP maître professionnel par tranche de 8 élèves.</t>
  </si>
  <si>
    <t>Nombre de Personnels administratifs</t>
  </si>
  <si>
    <t>Il est généralement recommandé de prévoir 1 ETP personnel administratif par tranche de 14 élèves.</t>
  </si>
  <si>
    <t>Nombre d'heures de vacataire enseignement général</t>
  </si>
  <si>
    <t>Données liées au nombre de classe et au nombre d'heures annuelles d'enseignement général</t>
  </si>
  <si>
    <t>Nombre ETP total</t>
  </si>
  <si>
    <t>DONNÉES D'INVESTISSEMENT PRÉVISIONNELLES</t>
  </si>
  <si>
    <t>I. BESOINS EN INVESTISSEMENTS (IMMOBILISATIONS) – DÉPENSES D’INVESTISSEMENT</t>
  </si>
  <si>
    <t>Catégorie d'investissement</t>
  </si>
  <si>
    <t>Détail / Exemples (Secteur industriel)</t>
  </si>
  <si>
    <t>Année 0 - Étude de faisabilité</t>
  </si>
  <si>
    <t>A. Aménagements des locaux</t>
  </si>
  <si>
    <t>Rénovation / Aménagement ateliers</t>
  </si>
  <si>
    <t>Gros œuvre, électricité, plomberie, ventilation, sols</t>
  </si>
  <si>
    <t>Aménagement salles de cours</t>
  </si>
  <si>
    <t>Peinture, mobilier fixe, tableau interactif</t>
  </si>
  <si>
    <t>Aménagement bureaux / Espaces administratifs</t>
  </si>
  <si>
    <t>Peinture, cloisons, sols</t>
  </si>
  <si>
    <t>Aménagement espaces vie scolaire</t>
  </si>
  <si>
    <t>Réfectoire, salle de repos, sanitaires</t>
  </si>
  <si>
    <t>Accès PMR (Personnes à Mobilité Réduite)</t>
  </si>
  <si>
    <t>Conformité réglementaire. rampes, ascenseurs, sanitaires adaptés</t>
  </si>
  <si>
    <t xml:space="preserve">Année 0 </t>
  </si>
  <si>
    <t>B. Acquisition d'équipements</t>
  </si>
  <si>
    <t>1. Équipements de production (Atelier)</t>
  </si>
  <si>
    <t>Machines-Outils (spécifiques métier)</t>
  </si>
  <si>
    <t>Cœur de l'activité de production. Tours, fraiseuses, scies, imprimantes 3D, etc.</t>
  </si>
  <si>
    <t>Logiciels spécifiques</t>
  </si>
  <si>
    <t>Solutions informatiques professionnelles dédiées à la production ou à la conception.</t>
  </si>
  <si>
    <t>Mobilier atelier</t>
  </si>
  <si>
    <t>Mobilier de travail pour la production : établis, rangements, postes de travail.</t>
  </si>
  <si>
    <t>Sécurité atelier</t>
  </si>
  <si>
    <t>Essentiel pour la sécurité des apprenants et formateurs. systèmes d'extraction, EPI</t>
  </si>
  <si>
    <t>2. Équipements pédagogiques (Généraux)</t>
  </si>
  <si>
    <t>Matériel informatique (Salles de cours)</t>
  </si>
  <si>
    <t>Pour les cours théoriques et la recherche. Ordinateurs, vidéoprojecteurs, écrans</t>
  </si>
  <si>
    <t>Logiciels spécifiques pédagogiques</t>
  </si>
  <si>
    <t>Logiciels utilisés en cours : CAO, FAO, gestion de projet, EAO, etc.</t>
  </si>
  <si>
    <t>Mobilier salles de cours</t>
  </si>
  <si>
    <t>Tables, chaises, armoires</t>
  </si>
  <si>
    <t>3. Équipements administratifs (Bureaux)</t>
  </si>
  <si>
    <t>Matériel informatique</t>
  </si>
  <si>
    <t>Ordinateurs, imprimantes, serveurs (si besoin)</t>
  </si>
  <si>
    <t>Mobilier de bureau</t>
  </si>
  <si>
    <t>Bureaux, chaises, rangements</t>
  </si>
  <si>
    <t>Équipements de communication</t>
  </si>
  <si>
    <t>Téléphones, visioconférence</t>
  </si>
  <si>
    <t>Année 0</t>
  </si>
  <si>
    <t>C. Véhicules (si pertinent)</t>
  </si>
  <si>
    <t>Véhicules utilitaires</t>
  </si>
  <si>
    <t>Pour transport de matériaux, livraison de produits</t>
  </si>
  <si>
    <t>Véhicules de service</t>
  </si>
  <si>
    <t>Pour déplacements administratifs / prospection</t>
  </si>
  <si>
    <t>D. Frais de création et de démarrage (Immobilisations incorporelles)</t>
  </si>
  <si>
    <t>Frais d'étude et de conseil</t>
  </si>
  <si>
    <t>Avant la création formelle. Étude de marché, faisabilité, juridique</t>
  </si>
  <si>
    <t>Frais juridiques et administratifs</t>
  </si>
  <si>
    <t>Honoraires d'avocats, notaires, frais de dépôt, statuts, enregistrement, licences, permis</t>
  </si>
  <si>
    <t>Dépôt de marque / brevet</t>
  </si>
  <si>
    <t>Si pertinent.</t>
  </si>
  <si>
    <t>TOTAL BESOINS EN INVESTISSEMENTS (Dépenses d'Investissement)</t>
  </si>
  <si>
    <t>II. BESOINS EN FINANCEMENT (IMMOBILISATIONS) - FINANCEMENT DES INVESTISSEMENTS</t>
  </si>
  <si>
    <t>NB: L'école de production s'oblige à ce que les investissements soient totalement financés par la région et des subventions privées</t>
  </si>
  <si>
    <t>Catégorie de Financement</t>
  </si>
  <si>
    <t>Détail / Exemples</t>
  </si>
  <si>
    <t>Région sur base 50%</t>
  </si>
  <si>
    <t>Subvention FNEP sur base 50%</t>
  </si>
  <si>
    <t>TOTAL DES FINANCEMENTS</t>
  </si>
  <si>
    <t>ECART DANS LE FINANCEMENT DES INVESTISSEMENTS</t>
  </si>
  <si>
    <t>Écart nul : investissements entièrement couverts par subventions (50% Région, 50% FNEP)</t>
  </si>
  <si>
    <t>DONNÉES D’EXPLOITATION PRÉVISIONNELLES</t>
  </si>
  <si>
    <t>III. CHARGES D'EXPLOITATION</t>
  </si>
  <si>
    <t>Catégories de charges prévisionnelles</t>
  </si>
  <si>
    <t>Justification / Notes</t>
  </si>
  <si>
    <t>A. Masse salariale</t>
  </si>
  <si>
    <t>Directeur (Brut + cotisations sociales)</t>
  </si>
  <si>
    <t>Reprise automatique suivant les informations indiquées en hypothèses (salaire et nombre directeurs)</t>
  </si>
  <si>
    <t>Maîtres professionnels (Brut + cotisations sociales)</t>
  </si>
  <si>
    <t>Reprise automatique suivant les informations indiquées en hypothèses (salaire et nombre maîtres professionnels)</t>
  </si>
  <si>
    <t>Administratif (Brut + cotisations sociales)</t>
  </si>
  <si>
    <t>Reprise automatique suivant les informations indiquées en hypothèses (salaire et nombre administratifs)</t>
  </si>
  <si>
    <t>Vacataires</t>
  </si>
  <si>
    <t>Reprise automatique suivant les informations indiquées en hypothèses (Coût horaire et nombre heures vacataires)</t>
  </si>
  <si>
    <t>Autres à détailler: (Saisir le salaire brut annuel)</t>
  </si>
  <si>
    <t>Divers 1 (Poste à saisir)</t>
  </si>
  <si>
    <t>À détailler si d'autres postes salariés sont prévus (ex: coordination pédagogique, assistant de production)</t>
  </si>
  <si>
    <t>Divers 2 (Poste à saisir)</t>
  </si>
  <si>
    <t>Divers 3 (Poste à saisir)</t>
  </si>
  <si>
    <t>Divers 4 (Poste à saisir)</t>
  </si>
  <si>
    <t>Calcul automatique suivant taux de charges indiqué en hypothèse</t>
  </si>
  <si>
    <t>B. Charges externes</t>
  </si>
  <si>
    <t>Électricité - Eau</t>
  </si>
  <si>
    <t>Consommation annuelle prévisionnelle, basée sur l'historique ou des estimations</t>
  </si>
  <si>
    <t>Chauffage</t>
  </si>
  <si>
    <t>Carburant</t>
  </si>
  <si>
    <t>Fournitures administratives</t>
  </si>
  <si>
    <t>Achats annuels de papeterie, consommables de bureau et d'impression, nécessaires au fonctionnement courant</t>
  </si>
  <si>
    <t>Fournitures petits équipements</t>
  </si>
  <si>
    <t>Achats de petit outillage, de consommables spécifiques aux activités (hors matières premières production), non immobilisés</t>
  </si>
  <si>
    <t>Entretien maintenance atelier</t>
  </si>
  <si>
    <t>Dépenses annuelles pour la maintenance préventive et corrective des machines et équipements d'atelier</t>
  </si>
  <si>
    <t>Entretien maintenance bureaux</t>
  </si>
  <si>
    <t>Dépenses annuelles pour l'entretien courant des bâtiments (nettoyage, petites réparations, sécurité)</t>
  </si>
  <si>
    <t>Loyers et charges locatives</t>
  </si>
  <si>
    <t>Coût annuel de location des locaux (ateliers, salles de cours, bureaux), basé sur le contrat de bail et charges locatives</t>
  </si>
  <si>
    <t>Primes d'assurances</t>
  </si>
  <si>
    <t>Coût annuel des assurances obligatoires (Responsabilité civile, locaux, véhicules, personnel, etc.)</t>
  </si>
  <si>
    <t>Honoraires (expert comptable, CAC …)</t>
  </si>
  <si>
    <t>Honoraires annuels du cabinet d'expertise comptable et du Commissaire aux Comptes (si applicable)</t>
  </si>
  <si>
    <t>Frais réception et promotion publicité</t>
  </si>
  <si>
    <t>Dépenses liées à l'accueil de partenaires, participation à des salons, création de supports pub (plaquettes, flyers, site, etc.)</t>
  </si>
  <si>
    <t xml:space="preserve">Transports et déplacements </t>
  </si>
  <si>
    <t>Coût annuel des déplacements professionnels du personnel (frais kilométriques, titres de transport, missions)</t>
  </si>
  <si>
    <t>Abonnements et cotisations</t>
  </si>
  <si>
    <t>Coût annuel des abonnements divers (licences logicielles, revues professionnelles, services en ligne) et locations de matériel</t>
  </si>
  <si>
    <t>Frais télécommunications</t>
  </si>
  <si>
    <t>Coût annuel des services téléphoniques (fixes, mobiles) et d'accès internet pour l'école</t>
  </si>
  <si>
    <t>Divers</t>
  </si>
  <si>
    <t>Provision pour diverses petites dépenses de fonctionnement non catégorisées ou imprévues</t>
  </si>
  <si>
    <t>C. Impôts et taxes</t>
  </si>
  <si>
    <t>Impôts locaux</t>
  </si>
  <si>
    <t>Taxe foncière (si propriétaire), Contribution Économique Territoriale (CFE/CVAE) ou autres taxes locales annuelles.</t>
  </si>
  <si>
    <t>Taxe apprentissage</t>
  </si>
  <si>
    <t>Contribution annuelle due par l'organisme formateur, si l'école est assujettie à la taxe d'apprentissage en tant qu'employeur</t>
  </si>
  <si>
    <t>Formation professionnelle</t>
  </si>
  <si>
    <t>Contribution annuelle obligatoire des employeurs destinée au financement de la formation professionnelle et de l'apprentissage</t>
  </si>
  <si>
    <t xml:space="preserve">Divers (TVA non récupérable, etc...) </t>
  </si>
  <si>
    <t>Autres taxes spécifiques (ex: taxes sur les salaires, TVS) et TVA non récupérable sur dépenses non déductibles</t>
  </si>
  <si>
    <t>D. Autres Besoins Spécifiques</t>
  </si>
  <si>
    <t>Divers 1 (Détail à saisir)</t>
  </si>
  <si>
    <t>Provision pour des dépenses spécifiques à identifier/détailler ultérieurement, liées à un projet ou besoin ponctuel</t>
  </si>
  <si>
    <t>Divers 2 (Détail à saisir)</t>
  </si>
  <si>
    <t>Divers 3 (Détail à saisir)</t>
  </si>
  <si>
    <t>Divers 4 (Détail à saisir)</t>
  </si>
  <si>
    <t>TOTAL DES CHARGES PREVISIONNELLES</t>
  </si>
  <si>
    <t>IV. SOURCES DE FINANCEMENT POSSIBLES</t>
  </si>
  <si>
    <t>Catégorie de financement prévisionnels</t>
  </si>
  <si>
    <t>A. Produits issus de l'activité pédagogique</t>
  </si>
  <si>
    <t>Participation financière apprenant</t>
  </si>
  <si>
    <t>Montant des participations élèves</t>
  </si>
  <si>
    <t>B. Produits issus de l'activité de production</t>
  </si>
  <si>
    <t>Ventes production Élèves - CA HT</t>
  </si>
  <si>
    <t>Volume et prix basés sur l'étude de marché des prestations réalisables par les apprenants et la stratégie commerciale</t>
  </si>
  <si>
    <t>Marge brute produite</t>
  </si>
  <si>
    <t>C. Subventions &amp; Aides (publiques et privées)</t>
  </si>
  <si>
    <t>Subventions publiques d'exploitation (État)</t>
  </si>
  <si>
    <t>Montant validé/attendu de la DREETS ou du Ministère. Évolution basée sur accords pluriannuels ou reconduction</t>
  </si>
  <si>
    <t>Subventions publiques d'exploitation (Régionales/Départ)</t>
  </si>
  <si>
    <t>Montant validé/attendu du Conseil Régional/Départemental (ex: Aide à l'investissement, fonctionnement, équipement)</t>
  </si>
  <si>
    <t>Subvention Banque des Territoires (BDT)</t>
  </si>
  <si>
    <t>Aide à l'ingénierie de projet, au développement territorial ou dispositifs d'amorçage d'activité liés à l'exploitation</t>
  </si>
  <si>
    <t>Subventions spécifiques FNEP (Faisabilité/Mise en Œuvre)</t>
  </si>
  <si>
    <t>Financement spécifique du démarrage (études, montage du projet). Conditionnalité et calendrier de versement</t>
  </si>
  <si>
    <t>Subventions spécifiques FNEP (Amorçage si Industrie)</t>
  </si>
  <si>
    <t>Aide à la mise en place d'un partenariat industriel structurant. Vérifier l'éligibilité et l'assiette de dépenses</t>
  </si>
  <si>
    <t>D. Autres Financements</t>
  </si>
  <si>
    <t>Taxe d'apprentissage collectée</t>
  </si>
  <si>
    <t>Hypothèse basée sur la masse salariale des entreprises ciblées ou sur les montants historiques des Écoles de Production</t>
  </si>
  <si>
    <t>Mécénat / Dons (hors subventions privées)</t>
  </si>
  <si>
    <t>Objectif de collecte auprès de fondations privées, entreprises, ou particuliers. Lancement de campagnes de levée de fonds</t>
  </si>
  <si>
    <t>Cotisations (adhésions partenaires et bénévoles)</t>
  </si>
  <si>
    <t>Hypothèse du nombre d'adhérents (personnes physiques/morales) et du montant de la cotisation unitaire</t>
  </si>
  <si>
    <t>Autres produits d'exploitation</t>
  </si>
  <si>
    <t>Ex: Ventes diverses de prestations de service, locations d'espaces, valorisation de surplus non liés à la production élèves, etc.</t>
  </si>
  <si>
    <t>Bénévolat sur heures d'enseignement générale - 50%</t>
  </si>
  <si>
    <t>Valorisation des heures d'enseignement bénévoles offertes par des vacataires - Représente 50% du coût des vacataires</t>
  </si>
  <si>
    <t>TOTAL DES PRODUITS D'EXPLOITATION</t>
  </si>
  <si>
    <t>SOLDE D'EXPLOITATION</t>
  </si>
  <si>
    <t>SOLDE D'EXPLOITATION CUMULÉ</t>
  </si>
  <si>
    <t>DONNÉES DE TRÉSORERIE PRÉVISIONNELLE</t>
  </si>
  <si>
    <t>VI. TRÉSORERIE</t>
  </si>
  <si>
    <t>Catégories de trésorerie prévisionnelles</t>
  </si>
  <si>
    <t>Reprise solde d'exploitation</t>
  </si>
  <si>
    <t>Besoin en fonds de roulement de début d'activité</t>
  </si>
  <si>
    <t>Il est recommandé de prévoir 1/3 du budget de charges prévisionnelles de l'année 1</t>
  </si>
  <si>
    <t>Besoin en trésorerie cumulé</t>
  </si>
  <si>
    <t>Mise en place prêt CdC conventionné  10 ans /différé 3 ans - Déblocage</t>
  </si>
  <si>
    <t>Remboursement capital - Prêt CdC</t>
  </si>
  <si>
    <t>Intérêts - Prêt CdC</t>
  </si>
  <si>
    <t>Mise en place prêt France Active conventionné  10 ans /différé 3 ans</t>
  </si>
  <si>
    <t>Remboursement capital - Prêt France Active</t>
  </si>
  <si>
    <t>Intérêts - Prêt France Active</t>
  </si>
  <si>
    <t>Solde de trésorerie intermédiaire</t>
  </si>
  <si>
    <t>Autres financements à trouver si le solde de trésoserie est négatif</t>
  </si>
  <si>
    <t>Divers 5 (Détail à saisir)</t>
  </si>
  <si>
    <t>Divers 6 (Détail à saisir)</t>
  </si>
  <si>
    <t>Divers 7 (Détail à saisir)</t>
  </si>
  <si>
    <t>TRESORERIE DISPONIBLE EN FIN D'ANNEE</t>
  </si>
  <si>
    <t>ÉTATS FINANCIERS PRÉVISIONNELS</t>
  </si>
  <si>
    <t>NB: Les amortissements ne sont pas traités dans ce compte de résultat car on s'oblige à ce que les immobilisations soient financées en totalité par des subventions d'investissement</t>
  </si>
  <si>
    <t>COMPTE DE RÉSULTAT</t>
  </si>
  <si>
    <t>Effectif apprenants</t>
  </si>
  <si>
    <t>Produits issus de l'activité pédagogique</t>
  </si>
  <si>
    <t>Produits issus de l'activité de production (Marge brute)</t>
  </si>
  <si>
    <t>Subventions et aides obtenues</t>
  </si>
  <si>
    <t>Autres financements</t>
  </si>
  <si>
    <t>Charges externes</t>
  </si>
  <si>
    <t>%charges externes</t>
  </si>
  <si>
    <t>Charges de personnel</t>
  </si>
  <si>
    <t>%charges personnel</t>
  </si>
  <si>
    <t>Impôts et taxes</t>
  </si>
  <si>
    <t>Autres charges d'exploitation</t>
  </si>
  <si>
    <t>TOTAL DES CHARGES D'EXPLOITATION</t>
  </si>
  <si>
    <t>RÉSULTAT D'EXPLOITATION</t>
  </si>
  <si>
    <t>Charges financières</t>
  </si>
  <si>
    <t>RÉSULTAT FINANCIER</t>
  </si>
  <si>
    <t>RÉSULTAT COURANT = RÉSULTAT DE L'EXERCICE</t>
  </si>
  <si>
    <t>CAPACITE D'AUTOFINANCEMENT</t>
  </si>
  <si>
    <t>RÉSULTAT DE L'EXERCICE = CAPACITE D'AUTOFINANCEMENT</t>
  </si>
  <si>
    <t>- Remboursement des emprunts</t>
  </si>
  <si>
    <t>AUTOFINANCEMENT NET</t>
  </si>
  <si>
    <t>TABLEAU DE FINANCEMENT</t>
  </si>
  <si>
    <t>Souscription d'emprunts</t>
  </si>
  <si>
    <t>Capacité d'autofinancement</t>
  </si>
  <si>
    <t>TOTAL DES RESSOURCES</t>
  </si>
  <si>
    <t>Remboursement des emprunts</t>
  </si>
  <si>
    <t>TOTAL DES EMPLOIS</t>
  </si>
  <si>
    <t>Variation du fonds de roulement</t>
  </si>
  <si>
    <t>FONDS DE ROULEMENT</t>
  </si>
  <si>
    <t>SYNTHESE</t>
  </si>
  <si>
    <t>Montant Estimé (€)</t>
  </si>
  <si>
    <r>
      <t xml:space="preserve">Les </t>
    </r>
    <r>
      <rPr>
        <b/>
        <sz val="12"/>
        <color theme="1"/>
        <rFont val="Calibri"/>
        <family val="2"/>
      </rPr>
      <t>montants estimés (€)</t>
    </r>
    <r>
      <rPr>
        <sz val="12"/>
        <color theme="1"/>
        <rFont val="Calibri"/>
        <family val="2"/>
      </rPr>
      <t xml:space="preserve"> des recettes et dépenses doivent être saisis en </t>
    </r>
    <r>
      <rPr>
        <b/>
        <sz val="12"/>
        <color theme="1"/>
        <rFont val="Calibri"/>
        <family val="2"/>
      </rPr>
      <t>HT</t>
    </r>
    <r>
      <rPr>
        <sz val="12"/>
        <color theme="1"/>
        <rFont val="Calibri"/>
        <family val="2"/>
      </rPr>
      <t xml:space="preserve"> s'ils concernent l'activité de </t>
    </r>
    <r>
      <rPr>
        <b/>
        <sz val="12"/>
        <color theme="1"/>
        <rFont val="Calibri"/>
        <family val="2"/>
      </rPr>
      <t>production</t>
    </r>
    <r>
      <rPr>
        <sz val="12"/>
        <color theme="1"/>
        <rFont val="Calibri"/>
        <family val="2"/>
      </rPr>
      <t xml:space="preserve"> et en </t>
    </r>
    <r>
      <rPr>
        <b/>
        <sz val="12"/>
        <color theme="1"/>
        <rFont val="Calibri"/>
        <family val="2"/>
      </rPr>
      <t>TTC</t>
    </r>
    <r>
      <rPr>
        <sz val="12"/>
        <color theme="1"/>
        <rFont val="Calibri"/>
        <family val="2"/>
      </rPr>
      <t xml:space="preserve"> s'ils concernent l'activité </t>
    </r>
    <r>
      <rPr>
        <b/>
        <sz val="12"/>
        <color theme="1"/>
        <rFont val="Calibri"/>
        <family val="2"/>
      </rPr>
      <t>pédagogique</t>
    </r>
    <r>
      <rPr>
        <sz val="12"/>
        <color theme="1"/>
        <rFont val="Calibri"/>
        <family val="2"/>
      </rPr>
      <t xml:space="preserve">. Pour les </t>
    </r>
    <r>
      <rPr>
        <b/>
        <sz val="12"/>
        <color theme="1"/>
        <rFont val="Calibri"/>
        <family val="2"/>
      </rPr>
      <t>dépenses mutualisées</t>
    </r>
    <r>
      <rPr>
        <sz val="12"/>
        <color theme="1"/>
        <rFont val="Calibri"/>
        <family val="2"/>
      </rPr>
      <t>, un ratio forfaitaire d’</t>
    </r>
    <r>
      <rPr>
        <b/>
        <sz val="12"/>
        <color theme="1"/>
        <rFont val="Calibri"/>
        <family val="2"/>
      </rPr>
      <t>1/3 de TVA</t>
    </r>
    <r>
      <rPr>
        <sz val="12"/>
        <color theme="1"/>
        <rFont val="Calibri"/>
        <family val="2"/>
      </rPr>
      <t xml:space="preserve"> peut être </t>
    </r>
    <r>
      <rPr>
        <b/>
        <sz val="12"/>
        <color theme="1"/>
        <rFont val="Calibri"/>
        <family val="2"/>
      </rPr>
      <t>ajouté aux montants HT</t>
    </r>
    <r>
      <rPr>
        <sz val="12"/>
        <color theme="1"/>
        <rFont val="Calibri"/>
        <family val="2"/>
      </rPr>
      <t>, en appliquant la clé de répartition suivante : 2/3 du temps élèves consacré à la production et 1/3 à la pédagogie.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</si>
</sst>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 &quot;€&quot;"/>
    <numFmt numFmtId="165" formatCode="_-* #,##0_-;\-* #,##0_-;_-* &quot;-&quot;??_-;_-@_-"/>
    <numFmt numFmtId="166" formatCode="#,##0_ ;\-#,##0\ "/>
  </numFmts>
  <fonts count="25" x14ac:knownFonts="1">
    <font>
      <sz val="11"/>
      <color theme="1"/>
      <name val="Aptos Narrow"/>
      <family val="2"/>
      <scheme val="minor"/>
    </font>
    <font>
      <sz val="11"/>
      <color theme="1"/>
      <name val="Aptos Narrow"/>
      <family val="2"/>
      <scheme val="minor"/>
    </font>
    <font>
      <sz val="8"/>
      <name val="Aptos Narrow"/>
      <family val="2"/>
      <scheme val="minor"/>
    </font>
    <font>
      <b/>
      <sz val="11"/>
      <color theme="1"/>
      <name val="Calibri"/>
      <family val="2"/>
    </font>
    <font>
      <sz val="11"/>
      <color theme="1"/>
      <name val="Calibri"/>
      <family val="2"/>
    </font>
    <font>
      <b/>
      <sz val="12"/>
      <color theme="1"/>
      <name val="Calibri"/>
      <family val="2"/>
    </font>
    <font>
      <i/>
      <sz val="11"/>
      <color theme="1"/>
      <name val="Calibri"/>
      <family val="2"/>
    </font>
    <font>
      <b/>
      <i/>
      <sz val="11"/>
      <color theme="1"/>
      <name val="Calibri"/>
      <family val="2"/>
    </font>
    <font>
      <b/>
      <sz val="14"/>
      <color theme="1"/>
      <name val="Calibri"/>
      <family val="2"/>
    </font>
    <font>
      <sz val="11"/>
      <color rgb="FF555555"/>
      <name val="Calibri"/>
      <family val="2"/>
    </font>
    <font>
      <sz val="12"/>
      <color theme="1"/>
      <name val="Calibri"/>
      <family val="2"/>
    </font>
    <font>
      <sz val="14"/>
      <color theme="1"/>
      <name val="Calibri"/>
      <family val="2"/>
    </font>
    <font>
      <b/>
      <sz val="16"/>
      <color theme="1"/>
      <name val="Calibri"/>
      <family val="2"/>
    </font>
    <font>
      <b/>
      <sz val="11"/>
      <color rgb="FF222222"/>
      <name val="Calibri"/>
      <family val="2"/>
    </font>
    <font>
      <i/>
      <sz val="10"/>
      <color theme="1"/>
      <name val="Calibri"/>
      <family val="2"/>
    </font>
    <font>
      <b/>
      <sz val="18"/>
      <color theme="1"/>
      <name val="Calibri"/>
      <family val="2"/>
    </font>
    <font>
      <b/>
      <sz val="18"/>
      <color rgb="FF000000"/>
      <name val="Calibri"/>
      <family val="2"/>
    </font>
    <font>
      <b/>
      <sz val="18"/>
      <color rgb="FF333333"/>
      <name val="Calibri"/>
      <family val="2"/>
    </font>
    <font>
      <i/>
      <sz val="9"/>
      <color theme="1"/>
      <name val="Calibri"/>
      <family val="2"/>
    </font>
    <font>
      <b/>
      <sz val="36"/>
      <color rgb="FF003366"/>
      <name val="Aptos Narrow"/>
      <family val="2"/>
      <scheme val="minor"/>
    </font>
    <font>
      <sz val="20"/>
      <color theme="1"/>
      <name val="Aptos Narrow"/>
      <family val="2"/>
      <scheme val="minor"/>
    </font>
    <font>
      <b/>
      <sz val="12"/>
      <color rgb="FF444444"/>
      <name val="Calibri"/>
      <family val="2"/>
    </font>
    <font>
      <sz val="11"/>
      <name val="Calibri"/>
      <family val="2"/>
    </font>
    <font>
      <b/>
      <i/>
      <sz val="10"/>
      <color rgb="FFEE0000"/>
      <name val="Calibri"/>
      <family val="2"/>
    </font>
    <font>
      <sz val="12"/>
      <name val="Calibri"/>
      <family val="2"/>
    </font>
  </fonts>
  <fills count="18">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F5F5F5"/>
        <bgColor indexed="64"/>
      </patternFill>
    </fill>
    <fill>
      <patternFill patternType="solid">
        <fgColor rgb="FFFFF4B2"/>
        <bgColor indexed="64"/>
      </patternFill>
    </fill>
    <fill>
      <patternFill patternType="solid">
        <fgColor rgb="FFB7D8F2"/>
        <bgColor indexed="64"/>
      </patternFill>
    </fill>
    <fill>
      <patternFill patternType="solid">
        <fgColor rgb="FFFFE0B3"/>
        <bgColor indexed="64"/>
      </patternFill>
    </fill>
    <fill>
      <patternFill patternType="solid">
        <fgColor rgb="FFBCE5D2"/>
        <bgColor indexed="64"/>
      </patternFill>
    </fill>
    <fill>
      <patternFill patternType="solid">
        <fgColor rgb="FFE0E0E0"/>
        <bgColor indexed="64"/>
      </patternFill>
    </fill>
    <fill>
      <patternFill patternType="solid">
        <fgColor rgb="FFD9CCE5"/>
        <bgColor indexed="64"/>
      </patternFill>
    </fill>
    <fill>
      <patternFill patternType="solid">
        <fgColor rgb="FFF2F4F7"/>
        <bgColor indexed="64"/>
      </patternFill>
    </fill>
    <fill>
      <patternFill patternType="solid">
        <fgColor rgb="FFDDE3EA"/>
        <bgColor indexed="64"/>
      </patternFill>
    </fill>
    <fill>
      <patternFill patternType="solid">
        <fgColor rgb="FFEFF3F8"/>
        <bgColor indexed="64"/>
      </patternFill>
    </fill>
    <fill>
      <patternFill patternType="solid">
        <fgColor rgb="FFD1E6DC"/>
        <bgColor indexed="64"/>
      </patternFill>
    </fill>
    <fill>
      <patternFill patternType="solid">
        <fgColor rgb="FFC9D7F2"/>
        <bgColor indexed="64"/>
      </patternFill>
    </fill>
    <fill>
      <patternFill patternType="solid">
        <fgColor rgb="FFDDDDDD"/>
        <bgColor rgb="FFDDDDDD"/>
      </patternFill>
    </fill>
    <fill>
      <patternFill patternType="solid">
        <fgColor rgb="FFFFF2CC"/>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rgb="FF00000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rgb="FFCCCCCC"/>
      </left>
      <right/>
      <top/>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style="thin">
        <color rgb="FF999999"/>
      </top>
      <bottom style="medium">
        <color rgb="FF999999"/>
      </bottom>
      <diagonal/>
    </border>
    <border>
      <left style="thin">
        <color rgb="FFCCCCCC"/>
      </left>
      <right/>
      <top/>
      <bottom style="thin">
        <color rgb="FFCCCCCC"/>
      </bottom>
      <diagonal/>
    </border>
    <border>
      <left style="medium">
        <color rgb="FF000000"/>
      </left>
      <right style="medium">
        <color rgb="FF000000"/>
      </right>
      <top style="medium">
        <color rgb="FF000000"/>
      </top>
      <bottom style="medium">
        <color rgb="FF000000"/>
      </bottom>
      <diagonal/>
    </border>
    <border>
      <left style="thin">
        <color rgb="FFCCCCCC"/>
      </left>
      <right/>
      <top/>
      <bottom style="medium">
        <color rgb="FF000000"/>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right/>
      <top style="thin">
        <color rgb="FF000000"/>
      </top>
      <bottom style="thin">
        <color rgb="FF000000"/>
      </bottom>
      <diagonal/>
    </border>
    <border>
      <left style="thin">
        <color rgb="FF000000"/>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95">
    <xf numFmtId="0" fontId="0" fillId="0" borderId="0" xfId="0"/>
    <xf numFmtId="165" fontId="4" fillId="2" borderId="1" xfId="1" applyNumberFormat="1" applyFont="1" applyFill="1" applyBorder="1" applyAlignment="1" applyProtection="1">
      <alignment vertical="center" wrapText="1"/>
      <protection locked="0"/>
    </xf>
    <xf numFmtId="165" fontId="4" fillId="3" borderId="1" xfId="1" applyNumberFormat="1" applyFont="1" applyFill="1" applyBorder="1" applyAlignment="1" applyProtection="1">
      <alignment vertical="center" wrapText="1"/>
    </xf>
    <xf numFmtId="165" fontId="4" fillId="0" borderId="1" xfId="1" applyNumberFormat="1" applyFont="1" applyBorder="1" applyAlignment="1" applyProtection="1">
      <alignment vertical="center" wrapText="1"/>
    </xf>
    <xf numFmtId="0" fontId="4" fillId="0" borderId="0" xfId="0" applyFont="1"/>
    <xf numFmtId="0" fontId="3" fillId="0" borderId="0" xfId="0" applyFont="1"/>
    <xf numFmtId="165" fontId="4" fillId="0" borderId="0" xfId="1" applyNumberFormat="1" applyFont="1" applyProtection="1"/>
    <xf numFmtId="0" fontId="3" fillId="0" borderId="0" xfId="0" applyFont="1" applyAlignment="1">
      <alignment horizontal="center" vertical="center" wrapText="1"/>
    </xf>
    <xf numFmtId="165" fontId="3" fillId="0" borderId="0" xfId="1" applyNumberFormat="1" applyFont="1" applyAlignment="1" applyProtection="1">
      <alignment horizontal="center" vertical="center" wrapText="1"/>
    </xf>
    <xf numFmtId="0" fontId="7" fillId="0" borderId="0" xfId="0" applyFont="1" applyAlignment="1">
      <alignment vertical="center" wrapText="1"/>
    </xf>
    <xf numFmtId="165" fontId="4" fillId="0" borderId="0" xfId="1" applyNumberFormat="1" applyFont="1" applyAlignment="1" applyProtection="1">
      <alignment vertical="center" wrapText="1"/>
    </xf>
    <xf numFmtId="0" fontId="4" fillId="0" borderId="0" xfId="0" applyFont="1" applyAlignment="1">
      <alignment horizontal="left" vertical="center" wrapText="1"/>
    </xf>
    <xf numFmtId="0" fontId="4" fillId="0" borderId="0" xfId="0" applyFont="1" applyAlignment="1">
      <alignment vertical="center" wrapText="1"/>
    </xf>
    <xf numFmtId="165" fontId="3" fillId="0" borderId="0" xfId="1" applyNumberFormat="1" applyFont="1" applyAlignment="1" applyProtection="1">
      <alignment vertical="center" wrapText="1"/>
    </xf>
    <xf numFmtId="0" fontId="6" fillId="0" borderId="0" xfId="0" applyFont="1" applyAlignment="1">
      <alignment horizontal="left"/>
    </xf>
    <xf numFmtId="0" fontId="3" fillId="0" borderId="0" xfId="0" applyFont="1" applyAlignment="1">
      <alignment vertical="center" wrapText="1"/>
    </xf>
    <xf numFmtId="0" fontId="6" fillId="0" borderId="0" xfId="0" applyFont="1"/>
    <xf numFmtId="165" fontId="3" fillId="0" borderId="0" xfId="1" applyNumberFormat="1" applyFont="1" applyBorder="1" applyAlignment="1" applyProtection="1">
      <alignment horizontal="center" vertical="center" wrapText="1"/>
    </xf>
    <xf numFmtId="165" fontId="3" fillId="0" borderId="0" xfId="0" applyNumberFormat="1" applyFont="1"/>
    <xf numFmtId="165" fontId="4" fillId="3" borderId="2" xfId="1" quotePrefix="1" applyNumberFormat="1" applyFont="1" applyFill="1" applyBorder="1" applyAlignment="1" applyProtection="1">
      <alignment vertical="center" wrapText="1"/>
    </xf>
    <xf numFmtId="165" fontId="3" fillId="0" borderId="3" xfId="0" applyNumberFormat="1" applyFont="1" applyBorder="1"/>
    <xf numFmtId="165" fontId="3" fillId="0" borderId="4" xfId="0" applyNumberFormat="1" applyFont="1" applyBorder="1"/>
    <xf numFmtId="165" fontId="7" fillId="4" borderId="1" xfId="1" applyNumberFormat="1" applyFont="1" applyFill="1" applyBorder="1" applyAlignment="1" applyProtection="1">
      <alignment vertical="center" wrapText="1"/>
    </xf>
    <xf numFmtId="165" fontId="6" fillId="4" borderId="1" xfId="1" applyNumberFormat="1" applyFont="1" applyFill="1" applyBorder="1" applyAlignment="1" applyProtection="1">
      <alignment vertical="center" wrapText="1"/>
    </xf>
    <xf numFmtId="0" fontId="10" fillId="0" borderId="0" xfId="0" applyFont="1"/>
    <xf numFmtId="0" fontId="8" fillId="11" borderId="0" xfId="0" applyFont="1" applyFill="1" applyAlignment="1">
      <alignment horizontal="center" vertical="center" wrapText="1"/>
    </xf>
    <xf numFmtId="0" fontId="11" fillId="0" borderId="0" xfId="0" applyFont="1"/>
    <xf numFmtId="0" fontId="10" fillId="0" borderId="0" xfId="0" applyFont="1" applyAlignment="1">
      <alignment vertical="center" wrapText="1"/>
    </xf>
    <xf numFmtId="0" fontId="5" fillId="12" borderId="0" xfId="0" applyFont="1" applyFill="1" applyAlignment="1">
      <alignment vertical="center" wrapText="1"/>
    </xf>
    <xf numFmtId="0" fontId="5" fillId="0" borderId="0" xfId="0" applyFont="1" applyAlignment="1">
      <alignment vertical="center" wrapText="1"/>
    </xf>
    <xf numFmtId="0" fontId="4" fillId="2" borderId="14" xfId="0" applyFont="1" applyFill="1" applyBorder="1" applyAlignment="1" applyProtection="1">
      <alignment horizontal="center" vertical="center" wrapText="1"/>
      <protection locked="0"/>
    </xf>
    <xf numFmtId="0" fontId="4" fillId="0" borderId="14" xfId="0" applyFont="1" applyBorder="1"/>
    <xf numFmtId="0" fontId="4" fillId="2" borderId="15" xfId="0" applyFont="1" applyFill="1" applyBorder="1" applyAlignment="1" applyProtection="1">
      <alignment horizontal="center" vertical="center" wrapText="1"/>
      <protection locked="0"/>
    </xf>
    <xf numFmtId="164" fontId="4" fillId="2" borderId="15" xfId="0" applyNumberFormat="1" applyFont="1" applyFill="1" applyBorder="1" applyAlignment="1" applyProtection="1">
      <alignment horizontal="center" vertical="center" wrapText="1"/>
      <protection locked="0"/>
    </xf>
    <xf numFmtId="164" fontId="4" fillId="2" borderId="10" xfId="0" applyNumberFormat="1" applyFont="1" applyFill="1" applyBorder="1" applyAlignment="1" applyProtection="1">
      <alignment horizontal="center" vertical="center" wrapText="1"/>
      <protection locked="0"/>
    </xf>
    <xf numFmtId="0" fontId="4" fillId="0" borderId="15" xfId="0" applyFont="1" applyBorder="1" applyAlignment="1">
      <alignment vertical="center" wrapText="1"/>
    </xf>
    <xf numFmtId="0" fontId="4" fillId="0" borderId="15" xfId="0" applyFont="1" applyBorder="1" applyAlignment="1">
      <alignment horizontal="left" vertical="center" wrapText="1" indent="1"/>
    </xf>
    <xf numFmtId="0" fontId="4" fillId="0" borderId="10" xfId="0" applyFont="1" applyBorder="1" applyAlignment="1">
      <alignment horizontal="left" vertical="center" wrapText="1" indent="1"/>
    </xf>
    <xf numFmtId="0" fontId="4" fillId="0" borderId="15" xfId="0" applyFont="1" applyBorder="1" applyAlignment="1">
      <alignment horizontal="left" vertical="center" indent="1"/>
    </xf>
    <xf numFmtId="0" fontId="8" fillId="11" borderId="0" xfId="0" applyFont="1" applyFill="1" applyAlignment="1">
      <alignment vertical="center" wrapText="1"/>
    </xf>
    <xf numFmtId="165" fontId="4" fillId="3" borderId="1" xfId="1" applyNumberFormat="1" applyFont="1" applyFill="1" applyBorder="1" applyAlignment="1" applyProtection="1">
      <alignment horizontal="left" vertical="center" wrapText="1" indent="1"/>
    </xf>
    <xf numFmtId="0" fontId="4" fillId="13" borderId="1" xfId="0" applyFont="1" applyFill="1" applyBorder="1" applyAlignment="1">
      <alignment vertical="center" wrapText="1"/>
    </xf>
    <xf numFmtId="0" fontId="13" fillId="14" borderId="19" xfId="0" applyFont="1" applyFill="1" applyBorder="1" applyAlignment="1">
      <alignment vertical="center" wrapText="1"/>
    </xf>
    <xf numFmtId="0" fontId="10" fillId="3" borderId="20" xfId="0" applyFont="1" applyFill="1" applyBorder="1" applyAlignment="1" applyProtection="1">
      <alignment vertical="center" wrapText="1"/>
      <protection locked="0"/>
    </xf>
    <xf numFmtId="0" fontId="5" fillId="4" borderId="14" xfId="0" applyFont="1" applyFill="1" applyBorder="1" applyAlignment="1">
      <alignment horizontal="center" vertical="center" wrapText="1"/>
    </xf>
    <xf numFmtId="0" fontId="13" fillId="7" borderId="21" xfId="0" applyFont="1" applyFill="1" applyBorder="1" applyAlignment="1">
      <alignment vertical="center" wrapText="1"/>
    </xf>
    <xf numFmtId="0" fontId="13" fillId="6" borderId="21" xfId="0" applyFont="1" applyFill="1" applyBorder="1" applyAlignment="1">
      <alignment vertical="center" wrapText="1"/>
    </xf>
    <xf numFmtId="165" fontId="4" fillId="2" borderId="1" xfId="1" applyNumberFormat="1" applyFont="1" applyFill="1" applyBorder="1" applyAlignment="1" applyProtection="1">
      <alignment horizontal="left" vertical="center" wrapText="1" indent="1"/>
      <protection locked="0"/>
    </xf>
    <xf numFmtId="165" fontId="5" fillId="14" borderId="1" xfId="1" applyNumberFormat="1" applyFont="1" applyFill="1" applyBorder="1" applyAlignment="1" applyProtection="1">
      <alignment vertical="center" wrapText="1"/>
    </xf>
    <xf numFmtId="165" fontId="7" fillId="4" borderId="7" xfId="1" applyNumberFormat="1" applyFont="1" applyFill="1" applyBorder="1" applyAlignment="1" applyProtection="1">
      <alignment vertical="center" wrapText="1"/>
    </xf>
    <xf numFmtId="165" fontId="4" fillId="0" borderId="7" xfId="1" applyNumberFormat="1" applyFont="1" applyBorder="1" applyAlignment="1" applyProtection="1">
      <alignment vertical="center" wrapText="1"/>
    </xf>
    <xf numFmtId="165" fontId="4" fillId="3" borderId="7" xfId="1" applyNumberFormat="1" applyFont="1" applyFill="1" applyBorder="1" applyAlignment="1" applyProtection="1">
      <alignment vertical="center" wrapText="1"/>
    </xf>
    <xf numFmtId="0" fontId="13" fillId="8" borderId="21" xfId="0" applyFont="1" applyFill="1" applyBorder="1" applyAlignment="1">
      <alignment vertical="center" wrapText="1"/>
    </xf>
    <xf numFmtId="165" fontId="4" fillId="3" borderId="2" xfId="1" applyNumberFormat="1" applyFont="1" applyFill="1" applyBorder="1" applyAlignment="1" applyProtection="1">
      <alignment horizontal="left" vertical="center" wrapText="1" indent="1"/>
    </xf>
    <xf numFmtId="165" fontId="4" fillId="3" borderId="23" xfId="1" applyNumberFormat="1" applyFont="1" applyFill="1" applyBorder="1" applyAlignment="1" applyProtection="1">
      <alignment horizontal="left" vertical="center" wrapText="1" indent="1"/>
    </xf>
    <xf numFmtId="165" fontId="4" fillId="3" borderId="14" xfId="1" applyNumberFormat="1" applyFont="1" applyFill="1" applyBorder="1" applyAlignment="1" applyProtection="1">
      <alignment horizontal="left" vertical="center" wrapText="1" indent="1"/>
    </xf>
    <xf numFmtId="165" fontId="6" fillId="4" borderId="11" xfId="1" applyNumberFormat="1" applyFont="1" applyFill="1" applyBorder="1" applyAlignment="1" applyProtection="1">
      <alignment vertical="center" wrapText="1"/>
    </xf>
    <xf numFmtId="165" fontId="6" fillId="4" borderId="24" xfId="1" applyNumberFormat="1" applyFont="1" applyFill="1" applyBorder="1" applyAlignment="1" applyProtection="1">
      <alignment vertical="center" wrapText="1"/>
    </xf>
    <xf numFmtId="165" fontId="6" fillId="4" borderId="6" xfId="1" applyNumberFormat="1" applyFont="1" applyFill="1" applyBorder="1" applyAlignment="1" applyProtection="1">
      <alignment vertical="center" wrapText="1"/>
    </xf>
    <xf numFmtId="0" fontId="5" fillId="12" borderId="14" xfId="0" applyFont="1" applyFill="1" applyBorder="1" applyAlignment="1">
      <alignment vertical="center" wrapText="1"/>
    </xf>
    <xf numFmtId="165" fontId="7" fillId="4" borderId="11" xfId="1" applyNumberFormat="1" applyFont="1" applyFill="1" applyBorder="1" applyAlignment="1" applyProtection="1">
      <alignment vertical="center" wrapText="1"/>
    </xf>
    <xf numFmtId="165" fontId="4" fillId="3" borderId="11" xfId="1" applyNumberFormat="1" applyFont="1" applyFill="1" applyBorder="1" applyAlignment="1" applyProtection="1">
      <alignment vertical="center" wrapText="1"/>
    </xf>
    <xf numFmtId="165" fontId="4" fillId="3" borderId="23" xfId="1" applyNumberFormat="1" applyFont="1" applyFill="1" applyBorder="1" applyAlignment="1" applyProtection="1">
      <alignment vertical="center" wrapText="1"/>
    </xf>
    <xf numFmtId="165" fontId="4" fillId="3" borderId="14" xfId="1" applyNumberFormat="1" applyFont="1" applyFill="1" applyBorder="1" applyAlignment="1" applyProtection="1">
      <alignment vertical="center" wrapText="1"/>
    </xf>
    <xf numFmtId="165" fontId="7" fillId="4" borderId="25" xfId="1" applyNumberFormat="1" applyFont="1" applyFill="1" applyBorder="1" applyAlignment="1" applyProtection="1">
      <alignment vertical="center" wrapText="1"/>
    </xf>
    <xf numFmtId="165" fontId="7" fillId="4" borderId="14" xfId="1" applyNumberFormat="1" applyFont="1" applyFill="1" applyBorder="1" applyAlignment="1" applyProtection="1">
      <alignment vertical="center" wrapText="1"/>
    </xf>
    <xf numFmtId="165" fontId="7" fillId="4" borderId="18" xfId="1" applyNumberFormat="1" applyFont="1" applyFill="1" applyBorder="1" applyAlignment="1" applyProtection="1">
      <alignment vertical="center" wrapText="1"/>
    </xf>
    <xf numFmtId="165" fontId="3" fillId="0" borderId="26" xfId="0" applyNumberFormat="1" applyFont="1" applyBorder="1"/>
    <xf numFmtId="0" fontId="5" fillId="12" borderId="21" xfId="0" applyFont="1" applyFill="1" applyBorder="1" applyAlignment="1">
      <alignment vertical="center" wrapText="1"/>
    </xf>
    <xf numFmtId="165" fontId="3" fillId="0" borderId="27" xfId="0" applyNumberFormat="1" applyFont="1" applyBorder="1"/>
    <xf numFmtId="165" fontId="4" fillId="3" borderId="28" xfId="1" quotePrefix="1" applyNumberFormat="1" applyFont="1" applyFill="1" applyBorder="1" applyAlignment="1" applyProtection="1">
      <alignment vertical="center" wrapText="1"/>
    </xf>
    <xf numFmtId="165" fontId="6" fillId="4" borderId="14" xfId="1" applyNumberFormat="1" applyFont="1" applyFill="1" applyBorder="1" applyAlignment="1" applyProtection="1">
      <alignment vertical="center" wrapText="1"/>
    </xf>
    <xf numFmtId="165" fontId="6" fillId="4" borderId="7" xfId="1" applyNumberFormat="1" applyFont="1" applyFill="1" applyBorder="1" applyAlignment="1" applyProtection="1">
      <alignment vertical="center" wrapText="1"/>
    </xf>
    <xf numFmtId="14" fontId="4" fillId="2" borderId="9" xfId="0" applyNumberFormat="1" applyFont="1" applyFill="1" applyBorder="1" applyAlignment="1" applyProtection="1">
      <alignment horizontal="center" vertical="center" wrapText="1"/>
      <protection locked="0"/>
    </xf>
    <xf numFmtId="10" fontId="4" fillId="2" borderId="15" xfId="2" applyNumberFormat="1" applyFont="1" applyFill="1" applyBorder="1" applyAlignment="1" applyProtection="1">
      <alignment horizontal="center" vertical="center" wrapText="1"/>
      <protection locked="0"/>
    </xf>
    <xf numFmtId="165" fontId="14" fillId="0" borderId="0" xfId="1" applyNumberFormat="1" applyFont="1" applyAlignment="1" applyProtection="1">
      <alignment horizontal="center" vertical="center" wrapText="1"/>
    </xf>
    <xf numFmtId="0" fontId="10" fillId="0" borderId="0" xfId="0" applyFont="1" applyAlignment="1">
      <alignment wrapText="1"/>
    </xf>
    <xf numFmtId="0" fontId="4" fillId="0" borderId="29" xfId="0" applyFont="1" applyBorder="1" applyAlignment="1">
      <alignment vertical="center" wrapText="1"/>
    </xf>
    <xf numFmtId="0" fontId="4" fillId="0" borderId="9" xfId="0" applyFont="1" applyBorder="1" applyAlignment="1">
      <alignment horizontal="left" vertical="center" wrapText="1" indent="1"/>
    </xf>
    <xf numFmtId="0" fontId="5" fillId="12" borderId="1" xfId="0" applyFont="1" applyFill="1" applyBorder="1" applyAlignment="1">
      <alignment vertical="center" wrapText="1"/>
    </xf>
    <xf numFmtId="2" fontId="4" fillId="0" borderId="15" xfId="0" applyNumberFormat="1" applyFont="1" applyBorder="1"/>
    <xf numFmtId="2" fontId="4" fillId="4" borderId="14" xfId="0" applyNumberFormat="1" applyFont="1" applyFill="1" applyBorder="1" applyAlignment="1">
      <alignment horizontal="center"/>
    </xf>
    <xf numFmtId="2" fontId="4" fillId="2" borderId="15" xfId="0" applyNumberFormat="1" applyFont="1" applyFill="1" applyBorder="1" applyAlignment="1" applyProtection="1">
      <alignment horizontal="center" vertical="center" wrapText="1"/>
      <protection locked="0"/>
    </xf>
    <xf numFmtId="2" fontId="5" fillId="4" borderId="14" xfId="0" applyNumberFormat="1" applyFont="1" applyFill="1" applyBorder="1" applyAlignment="1">
      <alignment horizontal="center" vertical="center" wrapText="1"/>
    </xf>
    <xf numFmtId="165" fontId="18" fillId="3" borderId="2" xfId="1" applyNumberFormat="1" applyFont="1" applyFill="1" applyBorder="1" applyAlignment="1" applyProtection="1">
      <alignment horizontal="left" vertical="center" wrapText="1" indent="2"/>
    </xf>
    <xf numFmtId="10" fontId="18" fillId="4" borderId="1" xfId="1" applyNumberFormat="1" applyFont="1" applyFill="1" applyBorder="1" applyAlignment="1" applyProtection="1">
      <alignment vertical="center" wrapText="1"/>
    </xf>
    <xf numFmtId="0" fontId="20" fillId="0" borderId="34" xfId="0" applyFont="1" applyBorder="1"/>
    <xf numFmtId="0" fontId="0" fillId="0" borderId="35" xfId="0" applyBorder="1"/>
    <xf numFmtId="0" fontId="0" fillId="0" borderId="34" xfId="0" applyBorder="1"/>
    <xf numFmtId="0" fontId="0" fillId="0" borderId="0" xfId="0" applyAlignment="1">
      <alignment horizontal="left"/>
    </xf>
    <xf numFmtId="0" fontId="0" fillId="0" borderId="35" xfId="0" applyBorder="1" applyAlignment="1">
      <alignment horizontal="left"/>
    </xf>
    <xf numFmtId="0" fontId="3" fillId="2" borderId="0" xfId="0" applyFont="1" applyFill="1" applyAlignment="1">
      <alignment wrapText="1"/>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8" fillId="8" borderId="0" xfId="0" applyFont="1" applyFill="1"/>
    <xf numFmtId="0" fontId="4" fillId="0" borderId="0" xfId="0" applyFont="1" applyAlignment="1">
      <alignment vertical="center"/>
    </xf>
    <xf numFmtId="0" fontId="17" fillId="15" borderId="5" xfId="0" applyFont="1" applyFill="1" applyBorder="1" applyAlignment="1">
      <alignment horizontal="center" vertical="center" wrapText="1"/>
    </xf>
    <xf numFmtId="0" fontId="10" fillId="0" borderId="0" xfId="0" applyFont="1" applyAlignment="1">
      <alignment horizontal="left" vertical="center" wrapText="1"/>
    </xf>
    <xf numFmtId="0" fontId="9" fillId="0" borderId="1" xfId="0" applyFont="1" applyBorder="1" applyAlignment="1">
      <alignment vertical="center" wrapText="1"/>
    </xf>
    <xf numFmtId="0" fontId="22" fillId="0" borderId="0" xfId="0" applyFont="1" applyAlignment="1">
      <alignment wrapText="1"/>
    </xf>
    <xf numFmtId="0" fontId="24" fillId="0" borderId="0" xfId="0" applyFont="1" applyAlignment="1">
      <alignment wrapText="1"/>
    </xf>
    <xf numFmtId="0" fontId="5" fillId="0" borderId="0" xfId="0" applyFont="1" applyAlignment="1">
      <alignment horizontal="left" vertical="center" wrapText="1" indent="4"/>
    </xf>
    <xf numFmtId="0" fontId="10" fillId="0" borderId="0" xfId="0" applyFont="1" applyAlignment="1">
      <alignment horizontal="left" vertical="center" wrapText="1" indent="4"/>
    </xf>
    <xf numFmtId="0" fontId="10" fillId="0" borderId="0" xfId="0" applyFont="1" applyAlignment="1">
      <alignment horizontal="justify" vertical="center" wrapText="1"/>
    </xf>
    <xf numFmtId="0" fontId="10" fillId="0" borderId="0" xfId="0" applyFont="1" applyAlignment="1">
      <alignment horizontal="justify" wrapText="1"/>
    </xf>
    <xf numFmtId="0" fontId="10" fillId="0" borderId="0" xfId="0" applyFont="1" applyAlignment="1">
      <alignment horizontal="left" vertical="center" indent="1"/>
    </xf>
    <xf numFmtId="0" fontId="5" fillId="0" borderId="0" xfId="0" applyFont="1" applyAlignment="1">
      <alignment horizontal="left" vertical="center" indent="4"/>
    </xf>
    <xf numFmtId="0" fontId="10" fillId="0" borderId="0" xfId="0" applyFont="1" applyAlignment="1">
      <alignment horizontal="left" vertical="center" indent="4"/>
    </xf>
    <xf numFmtId="0" fontId="10" fillId="0" borderId="0" xfId="0" applyFont="1" applyAlignment="1">
      <alignment vertical="center"/>
    </xf>
    <xf numFmtId="0" fontId="24" fillId="0" borderId="0" xfId="0" applyFont="1" applyAlignment="1">
      <alignment vertical="center" wrapText="1"/>
    </xf>
    <xf numFmtId="3" fontId="7" fillId="4" borderId="1" xfId="1" applyNumberFormat="1" applyFont="1" applyFill="1" applyBorder="1" applyAlignment="1" applyProtection="1">
      <alignment vertical="center" wrapText="1"/>
    </xf>
    <xf numFmtId="3" fontId="4" fillId="3" borderId="1" xfId="1" applyNumberFormat="1" applyFont="1" applyFill="1" applyBorder="1" applyAlignment="1" applyProtection="1">
      <alignment vertical="center" wrapText="1"/>
    </xf>
    <xf numFmtId="3" fontId="4" fillId="3" borderId="7" xfId="1" applyNumberFormat="1" applyFont="1" applyFill="1" applyBorder="1" applyAlignment="1" applyProtection="1">
      <alignment vertical="center" wrapText="1"/>
    </xf>
    <xf numFmtId="3" fontId="3" fillId="0" borderId="0" xfId="1" applyNumberFormat="1" applyFont="1" applyAlignment="1" applyProtection="1">
      <alignment horizontal="center" vertical="center" wrapText="1"/>
    </xf>
    <xf numFmtId="3" fontId="5" fillId="14" borderId="1" xfId="1" applyNumberFormat="1" applyFont="1" applyFill="1" applyBorder="1" applyAlignment="1" applyProtection="1">
      <alignment vertical="center" wrapText="1"/>
    </xf>
    <xf numFmtId="3" fontId="5" fillId="14" borderId="7" xfId="1" applyNumberFormat="1" applyFont="1" applyFill="1" applyBorder="1" applyAlignment="1" applyProtection="1">
      <alignment vertical="center" wrapText="1"/>
    </xf>
    <xf numFmtId="3" fontId="4" fillId="0" borderId="0" xfId="1" applyNumberFormat="1" applyFont="1"/>
    <xf numFmtId="3" fontId="5" fillId="7" borderId="1" xfId="1" applyNumberFormat="1" applyFont="1" applyFill="1" applyBorder="1" applyAlignment="1" applyProtection="1">
      <alignment vertical="center" wrapText="1"/>
    </xf>
    <xf numFmtId="3" fontId="5" fillId="7" borderId="7" xfId="1" applyNumberFormat="1" applyFont="1" applyFill="1" applyBorder="1" applyAlignment="1" applyProtection="1">
      <alignment vertical="center" wrapText="1"/>
    </xf>
    <xf numFmtId="166" fontId="7" fillId="4" borderId="1" xfId="1" applyNumberFormat="1" applyFont="1" applyFill="1" applyBorder="1" applyAlignment="1" applyProtection="1">
      <alignment vertical="center" wrapText="1"/>
    </xf>
    <xf numFmtId="166" fontId="4" fillId="2" borderId="1" xfId="1" applyNumberFormat="1" applyFont="1" applyFill="1" applyBorder="1" applyAlignment="1" applyProtection="1">
      <alignment vertical="center" wrapText="1"/>
      <protection locked="0"/>
    </xf>
    <xf numFmtId="166" fontId="7" fillId="4" borderId="7" xfId="1" applyNumberFormat="1" applyFont="1" applyFill="1" applyBorder="1" applyAlignment="1" applyProtection="1">
      <alignment vertical="center" wrapText="1"/>
    </xf>
    <xf numFmtId="166" fontId="4" fillId="0" borderId="1" xfId="1" applyNumberFormat="1" applyFont="1" applyBorder="1" applyProtection="1"/>
    <xf numFmtId="166" fontId="6" fillId="4" borderId="1" xfId="1" applyNumberFormat="1" applyFont="1" applyFill="1" applyBorder="1" applyAlignment="1" applyProtection="1">
      <alignment vertical="center" wrapText="1"/>
    </xf>
    <xf numFmtId="166" fontId="4" fillId="0" borderId="7" xfId="1" applyNumberFormat="1" applyFont="1" applyBorder="1" applyProtection="1"/>
    <xf numFmtId="166" fontId="4" fillId="2" borderId="7" xfId="1" applyNumberFormat="1" applyFont="1" applyFill="1" applyBorder="1" applyAlignment="1" applyProtection="1">
      <alignment vertical="center" wrapText="1"/>
      <protection locked="0"/>
    </xf>
    <xf numFmtId="166" fontId="0" fillId="0" borderId="0" xfId="1" applyNumberFormat="1" applyFont="1"/>
    <xf numFmtId="166" fontId="7" fillId="8" borderId="11" xfId="1" applyNumberFormat="1" applyFont="1" applyFill="1" applyBorder="1" applyAlignment="1" applyProtection="1">
      <alignment vertical="center" wrapText="1"/>
    </xf>
    <xf numFmtId="166" fontId="7" fillId="8" borderId="1" xfId="1" applyNumberFormat="1" applyFont="1" applyFill="1" applyBorder="1" applyAlignment="1" applyProtection="1">
      <alignment vertical="center" wrapText="1"/>
    </xf>
    <xf numFmtId="3" fontId="4" fillId="2" borderId="1" xfId="0" applyNumberFormat="1" applyFont="1" applyFill="1" applyBorder="1" applyAlignment="1" applyProtection="1">
      <alignment vertical="center" wrapText="1"/>
      <protection locked="0"/>
    </xf>
    <xf numFmtId="3" fontId="6" fillId="4" borderId="1" xfId="1" applyNumberFormat="1" applyFont="1" applyFill="1" applyBorder="1" applyAlignment="1" applyProtection="1">
      <alignment vertical="center" wrapText="1"/>
    </xf>
    <xf numFmtId="3" fontId="3" fillId="0" borderId="0" xfId="0" applyNumberFormat="1" applyFont="1" applyAlignment="1">
      <alignment vertical="center" wrapText="1"/>
    </xf>
    <xf numFmtId="3" fontId="3" fillId="4" borderId="1" xfId="0" applyNumberFormat="1" applyFont="1" applyFill="1" applyBorder="1" applyAlignment="1">
      <alignment vertical="center" wrapText="1"/>
    </xf>
    <xf numFmtId="3" fontId="3" fillId="4" borderId="7" xfId="0" applyNumberFormat="1" applyFont="1" applyFill="1" applyBorder="1" applyAlignment="1">
      <alignment vertical="center" wrapText="1"/>
    </xf>
    <xf numFmtId="3" fontId="4" fillId="0" borderId="1" xfId="0" applyNumberFormat="1" applyFont="1" applyBorder="1"/>
    <xf numFmtId="3" fontId="3" fillId="0" borderId="1" xfId="0" applyNumberFormat="1" applyFont="1" applyBorder="1" applyAlignment="1">
      <alignment vertical="center" wrapText="1"/>
    </xf>
    <xf numFmtId="3" fontId="3" fillId="0" borderId="7" xfId="0" applyNumberFormat="1" applyFont="1" applyBorder="1" applyAlignment="1">
      <alignment vertical="center" wrapText="1"/>
    </xf>
    <xf numFmtId="3" fontId="4" fillId="0" borderId="0" xfId="0" applyNumberFormat="1" applyFont="1"/>
    <xf numFmtId="3" fontId="3" fillId="0" borderId="11" xfId="0" applyNumberFormat="1" applyFont="1" applyBorder="1"/>
    <xf numFmtId="3" fontId="3" fillId="0" borderId="1" xfId="0" applyNumberFormat="1" applyFont="1" applyBorder="1"/>
    <xf numFmtId="3" fontId="3" fillId="0" borderId="7" xfId="0" applyNumberFormat="1" applyFont="1" applyBorder="1"/>
    <xf numFmtId="0" fontId="10" fillId="17" borderId="0" xfId="0" applyFont="1" applyFill="1" applyAlignment="1">
      <alignment vertical="center" wrapText="1"/>
    </xf>
    <xf numFmtId="0" fontId="9" fillId="0" borderId="14" xfId="0" applyFont="1" applyBorder="1"/>
    <xf numFmtId="0" fontId="23" fillId="0" borderId="36" xfId="0" applyFont="1" applyBorder="1" applyAlignment="1">
      <alignment horizontal="left" vertical="center" wrapText="1"/>
    </xf>
    <xf numFmtId="0" fontId="23" fillId="0" borderId="5" xfId="0" applyFont="1" applyBorder="1" applyAlignment="1">
      <alignment horizontal="left" vertical="center" wrapText="1"/>
    </xf>
    <xf numFmtId="0" fontId="23" fillId="0" borderId="37" xfId="0" applyFont="1" applyBorder="1" applyAlignment="1">
      <alignment horizontal="left" vertical="center" wrapText="1"/>
    </xf>
    <xf numFmtId="0" fontId="22" fillId="16" borderId="34" xfId="0" applyFont="1" applyFill="1" applyBorder="1" applyAlignment="1" applyProtection="1">
      <alignment horizontal="left" vertical="center" wrapText="1"/>
      <protection locked="0"/>
    </xf>
    <xf numFmtId="0" fontId="22" fillId="16" borderId="0" xfId="0" applyFont="1" applyFill="1" applyAlignment="1" applyProtection="1">
      <alignment horizontal="left" vertical="center" wrapText="1"/>
      <protection locked="0"/>
    </xf>
    <xf numFmtId="0" fontId="22" fillId="16" borderId="35" xfId="0" applyFont="1" applyFill="1" applyBorder="1" applyAlignment="1" applyProtection="1">
      <alignment horizontal="left" vertical="center" wrapText="1"/>
      <protection locked="0"/>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19" fillId="0" borderId="31" xfId="0" applyFont="1" applyBorder="1" applyAlignment="1">
      <alignment horizontal="center" wrapText="1"/>
    </xf>
    <xf numFmtId="0" fontId="19" fillId="0" borderId="32" xfId="0" applyFont="1" applyBorder="1" applyAlignment="1">
      <alignment horizontal="center"/>
    </xf>
    <xf numFmtId="0" fontId="19" fillId="0" borderId="33" xfId="0" applyFont="1" applyBorder="1" applyAlignment="1">
      <alignment horizontal="center"/>
    </xf>
    <xf numFmtId="0" fontId="9" fillId="0" borderId="14" xfId="0" applyFont="1" applyBorder="1" applyAlignment="1">
      <alignment horizontal="left" vertical="center" wrapText="1"/>
    </xf>
    <xf numFmtId="0" fontId="4" fillId="0" borderId="14" xfId="0" applyFont="1" applyBorder="1" applyAlignment="1">
      <alignment horizontal="left" vertical="center" wrapText="1"/>
    </xf>
    <xf numFmtId="0" fontId="17" fillId="5" borderId="5" xfId="0" applyFont="1" applyFill="1" applyBorder="1" applyAlignment="1">
      <alignment horizontal="center" vertical="center"/>
    </xf>
    <xf numFmtId="0" fontId="3" fillId="2" borderId="38" xfId="0" applyFont="1" applyFill="1" applyBorder="1" applyAlignment="1">
      <alignment horizontal="left" vertical="center" wrapText="1"/>
    </xf>
    <xf numFmtId="0" fontId="9" fillId="0" borderId="12" xfId="0" applyFont="1" applyBorder="1" applyAlignment="1">
      <alignment horizontal="left" vertical="center" wrapText="1"/>
    </xf>
    <xf numFmtId="0" fontId="9" fillId="0" borderId="30" xfId="0" applyFont="1" applyBorder="1" applyAlignment="1">
      <alignment horizontal="left" vertical="center"/>
    </xf>
    <xf numFmtId="0" fontId="9" fillId="0" borderId="13" xfId="0" applyFont="1" applyBorder="1" applyAlignment="1">
      <alignment horizontal="left" vertical="center"/>
    </xf>
    <xf numFmtId="0" fontId="8" fillId="11" borderId="0" xfId="0" applyFont="1" applyFill="1" applyAlignment="1">
      <alignment horizontal="left" vertical="center" wrapText="1"/>
    </xf>
    <xf numFmtId="0" fontId="10" fillId="0" borderId="0" xfId="0" applyFont="1" applyAlignment="1">
      <alignment horizontal="left" vertical="center" wrapText="1"/>
    </xf>
    <xf numFmtId="0" fontId="3" fillId="0" borderId="0" xfId="0" applyFont="1" applyAlignment="1">
      <alignment horizontal="center" vertical="center" wrapText="1"/>
    </xf>
    <xf numFmtId="0" fontId="9" fillId="0" borderId="15" xfId="0" applyFont="1" applyBorder="1" applyAlignment="1">
      <alignment horizontal="left" vertical="center" wrapText="1"/>
    </xf>
    <xf numFmtId="0" fontId="9" fillId="0" borderId="29" xfId="0" applyFont="1" applyBorder="1" applyAlignment="1">
      <alignment horizontal="left" vertical="center" wrapText="1"/>
    </xf>
    <xf numFmtId="0" fontId="9" fillId="0" borderId="16" xfId="0" applyFont="1" applyBorder="1" applyAlignment="1">
      <alignment horizontal="left" vertical="center" wrapText="1"/>
    </xf>
    <xf numFmtId="0" fontId="6" fillId="0" borderId="0" xfId="0" applyFont="1" applyAlignment="1">
      <alignment horizontal="left"/>
    </xf>
    <xf numFmtId="0" fontId="8" fillId="11" borderId="0" xfId="0" applyFont="1" applyFill="1" applyAlignment="1">
      <alignment horizontal="center" vertical="center" wrapText="1"/>
    </xf>
    <xf numFmtId="0" fontId="15" fillId="6" borderId="22" xfId="0" applyFont="1" applyFill="1" applyBorder="1" applyAlignment="1">
      <alignment horizontal="center" vertical="center"/>
    </xf>
    <xf numFmtId="0" fontId="15" fillId="6" borderId="5" xfId="0" applyFont="1" applyFill="1" applyBorder="1" applyAlignment="1">
      <alignment horizontal="center" vertical="center"/>
    </xf>
    <xf numFmtId="0" fontId="12" fillId="6" borderId="8" xfId="0" applyFont="1" applyFill="1" applyBorder="1" applyAlignment="1">
      <alignment horizontal="center"/>
    </xf>
    <xf numFmtId="0" fontId="12" fillId="6" borderId="0" xfId="0" applyFont="1" applyFill="1" applyAlignment="1">
      <alignment horizontal="center"/>
    </xf>
    <xf numFmtId="0" fontId="15" fillId="7" borderId="5" xfId="0" applyFont="1" applyFill="1" applyBorder="1" applyAlignment="1">
      <alignment horizontal="center" vertical="center"/>
    </xf>
    <xf numFmtId="0" fontId="12" fillId="7" borderId="0" xfId="0" applyFont="1" applyFill="1" applyAlignment="1">
      <alignment horizontal="center"/>
    </xf>
    <xf numFmtId="0" fontId="4" fillId="0" borderId="0" xfId="0" applyFont="1" applyAlignment="1">
      <alignment horizontal="left" vertical="center" wrapText="1"/>
    </xf>
    <xf numFmtId="0" fontId="4" fillId="0" borderId="1" xfId="0" applyFont="1" applyBorder="1" applyAlignment="1">
      <alignment horizontal="left" vertical="center" wrapText="1"/>
    </xf>
    <xf numFmtId="0" fontId="9" fillId="0" borderId="17" xfId="0" applyFont="1" applyBorder="1" applyAlignment="1">
      <alignment horizontal="left" vertical="center" wrapText="1"/>
    </xf>
    <xf numFmtId="0" fontId="4" fillId="0" borderId="12" xfId="0" applyFont="1" applyBorder="1" applyAlignment="1">
      <alignment horizontal="left" vertical="center" wrapText="1"/>
    </xf>
    <xf numFmtId="0" fontId="4" fillId="0" borderId="0" xfId="0" applyFont="1" applyAlignment="1">
      <alignment horizontal="center" vertical="center" wrapText="1"/>
    </xf>
    <xf numFmtId="0" fontId="4" fillId="0" borderId="18" xfId="0" applyFont="1" applyBorder="1" applyAlignment="1">
      <alignment horizontal="left" vertical="center" wrapText="1"/>
    </xf>
    <xf numFmtId="0" fontId="4" fillId="0" borderId="14" xfId="0" applyFont="1" applyBorder="1" applyAlignment="1">
      <alignment horizontal="center" vertical="center" wrapText="1"/>
    </xf>
    <xf numFmtId="0" fontId="3" fillId="0" borderId="0" xfId="0" applyFont="1" applyAlignment="1">
      <alignment horizontal="left" vertical="center" wrapText="1"/>
    </xf>
    <xf numFmtId="0" fontId="15" fillId="8" borderId="5" xfId="0" applyFont="1" applyFill="1" applyBorder="1" applyAlignment="1">
      <alignment horizontal="center" vertical="center"/>
    </xf>
    <xf numFmtId="0" fontId="8" fillId="8" borderId="0" xfId="0" applyFont="1" applyFill="1" applyAlignment="1">
      <alignment horizontal="center"/>
    </xf>
    <xf numFmtId="0" fontId="0" fillId="0" borderId="15" xfId="0" applyBorder="1" applyAlignment="1">
      <alignment horizontal="center"/>
    </xf>
    <xf numFmtId="0" fontId="0" fillId="0" borderId="16" xfId="0" applyBorder="1" applyAlignment="1">
      <alignment horizontal="center"/>
    </xf>
    <xf numFmtId="0" fontId="9" fillId="0" borderId="13" xfId="0" applyFont="1" applyBorder="1" applyAlignment="1">
      <alignment horizontal="left" vertical="center" wrapText="1"/>
    </xf>
    <xf numFmtId="0" fontId="4" fillId="0" borderId="13" xfId="0" applyFont="1" applyBorder="1" applyAlignment="1">
      <alignment horizontal="left" vertical="center" wrapText="1"/>
    </xf>
    <xf numFmtId="0" fontId="12" fillId="9" borderId="5" xfId="0" applyFont="1" applyFill="1" applyBorder="1" applyAlignment="1">
      <alignment horizontal="center" vertical="center"/>
    </xf>
    <xf numFmtId="0" fontId="7" fillId="0" borderId="0" xfId="0" applyFont="1" applyAlignment="1">
      <alignment horizontal="left" vertical="center"/>
    </xf>
    <xf numFmtId="165" fontId="8" fillId="0" borderId="14" xfId="1" applyNumberFormat="1" applyFont="1" applyBorder="1" applyAlignment="1" applyProtection="1">
      <alignment horizontal="center" vertical="center" wrapText="1"/>
    </xf>
    <xf numFmtId="0" fontId="16" fillId="10" borderId="5" xfId="0" applyFont="1" applyFill="1" applyBorder="1" applyAlignment="1">
      <alignment horizontal="center" vertical="center"/>
    </xf>
  </cellXfs>
  <cellStyles count="3">
    <cellStyle name="Milliers" xfId="1" builtinId="3"/>
    <cellStyle name="Normal" xfId="0" builtinId="0"/>
    <cellStyle name="Pourcentage" xfId="2" builtinId="5"/>
  </cellStyles>
  <dxfs count="1">
    <dxf>
      <fill>
        <patternFill>
          <bgColor rgb="FFFF0000"/>
        </patternFill>
      </fill>
    </dxf>
  </dxfs>
  <tableStyles count="0" defaultTableStyle="TableStyleMedium2" defaultPivotStyle="PivotStyleLight16"/>
  <colors>
    <mruColors>
      <color rgb="FFF5F5F5"/>
      <color rgb="FF322642"/>
      <color rgb="FF8064A2"/>
      <color rgb="FFC9D7F2"/>
      <color rgb="FFB5D3E7"/>
      <color rgb="FF000000"/>
      <color rgb="FFFFFFCC"/>
      <color rgb="FFD9CCE5"/>
      <color rgb="FFBCE5D2"/>
      <color rgb="FFFF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30</xdr:row>
      <xdr:rowOff>180975</xdr:rowOff>
    </xdr:from>
    <xdr:to>
      <xdr:col>0</xdr:col>
      <xdr:colOff>1390794</xdr:colOff>
      <xdr:row>32</xdr:row>
      <xdr:rowOff>9557</xdr:rowOff>
    </xdr:to>
    <xdr:pic>
      <xdr:nvPicPr>
        <xdr:cNvPr id="5" name="Image 4">
          <a:extLst>
            <a:ext uri="{FF2B5EF4-FFF2-40B4-BE49-F238E27FC236}">
              <a16:creationId xmlns:a16="http://schemas.microsoft.com/office/drawing/2014/main" id="{C54115B4-22B9-E2DF-FF92-9EAF891441AB}"/>
            </a:ext>
          </a:extLst>
        </xdr:cNvPr>
        <xdr:cNvPicPr>
          <a:picLocks noChangeAspect="1"/>
        </xdr:cNvPicPr>
      </xdr:nvPicPr>
      <xdr:blipFill>
        <a:blip xmlns:r="http://schemas.openxmlformats.org/officeDocument/2006/relationships" r:embed="rId1"/>
        <a:stretch>
          <a:fillRect/>
        </a:stretch>
      </xdr:blipFill>
      <xdr:spPr>
        <a:xfrm>
          <a:off x="361950" y="7896225"/>
          <a:ext cx="1028844" cy="228632"/>
        </a:xfrm>
        <a:prstGeom prst="rect">
          <a:avLst/>
        </a:prstGeom>
      </xdr:spPr>
    </xdr:pic>
    <xdr:clientData/>
  </xdr:twoCellAnchor>
  <xdr:twoCellAnchor editAs="oneCell">
    <xdr:from>
      <xdr:col>0</xdr:col>
      <xdr:colOff>400050</xdr:colOff>
      <xdr:row>33</xdr:row>
      <xdr:rowOff>171450</xdr:rowOff>
    </xdr:from>
    <xdr:to>
      <xdr:col>0</xdr:col>
      <xdr:colOff>2257684</xdr:colOff>
      <xdr:row>35</xdr:row>
      <xdr:rowOff>32</xdr:rowOff>
    </xdr:to>
    <xdr:pic>
      <xdr:nvPicPr>
        <xdr:cNvPr id="6" name="Image 5">
          <a:extLst>
            <a:ext uri="{FF2B5EF4-FFF2-40B4-BE49-F238E27FC236}">
              <a16:creationId xmlns:a16="http://schemas.microsoft.com/office/drawing/2014/main" id="{FAA46D56-5DE9-A300-D74C-FC2EE27AA214}"/>
            </a:ext>
          </a:extLst>
        </xdr:cNvPr>
        <xdr:cNvPicPr>
          <a:picLocks noChangeAspect="1"/>
        </xdr:cNvPicPr>
      </xdr:nvPicPr>
      <xdr:blipFill>
        <a:blip xmlns:r="http://schemas.openxmlformats.org/officeDocument/2006/relationships" r:embed="rId2"/>
        <a:stretch>
          <a:fillRect/>
        </a:stretch>
      </xdr:blipFill>
      <xdr:spPr>
        <a:xfrm>
          <a:off x="400050" y="8886825"/>
          <a:ext cx="1857634" cy="228632"/>
        </a:xfrm>
        <a:prstGeom prst="rect">
          <a:avLst/>
        </a:prstGeom>
      </xdr:spPr>
    </xdr:pic>
    <xdr:clientData/>
  </xdr:twoCellAnchor>
  <xdr:twoCellAnchor editAs="oneCell">
    <xdr:from>
      <xdr:col>0</xdr:col>
      <xdr:colOff>381000</xdr:colOff>
      <xdr:row>27</xdr:row>
      <xdr:rowOff>180975</xdr:rowOff>
    </xdr:from>
    <xdr:to>
      <xdr:col>0</xdr:col>
      <xdr:colOff>1571791</xdr:colOff>
      <xdr:row>29</xdr:row>
      <xdr:rowOff>9557</xdr:rowOff>
    </xdr:to>
    <xdr:pic>
      <xdr:nvPicPr>
        <xdr:cNvPr id="7" name="Image 6">
          <a:extLst>
            <a:ext uri="{FF2B5EF4-FFF2-40B4-BE49-F238E27FC236}">
              <a16:creationId xmlns:a16="http://schemas.microsoft.com/office/drawing/2014/main" id="{C425AF2B-54F4-3D71-831A-497032FCFA82}"/>
            </a:ext>
          </a:extLst>
        </xdr:cNvPr>
        <xdr:cNvPicPr>
          <a:picLocks noChangeAspect="1"/>
        </xdr:cNvPicPr>
      </xdr:nvPicPr>
      <xdr:blipFill>
        <a:blip xmlns:r="http://schemas.openxmlformats.org/officeDocument/2006/relationships" r:embed="rId3"/>
        <a:stretch>
          <a:fillRect/>
        </a:stretch>
      </xdr:blipFill>
      <xdr:spPr>
        <a:xfrm>
          <a:off x="381000" y="7296150"/>
          <a:ext cx="1190791" cy="228632"/>
        </a:xfrm>
        <a:prstGeom prst="rect">
          <a:avLst/>
        </a:prstGeom>
      </xdr:spPr>
    </xdr:pic>
    <xdr:clientData/>
  </xdr:twoCellAnchor>
  <xdr:twoCellAnchor editAs="oneCell">
    <xdr:from>
      <xdr:col>0</xdr:col>
      <xdr:colOff>381000</xdr:colOff>
      <xdr:row>36</xdr:row>
      <xdr:rowOff>180975</xdr:rowOff>
    </xdr:from>
    <xdr:to>
      <xdr:col>0</xdr:col>
      <xdr:colOff>2029055</xdr:colOff>
      <xdr:row>38</xdr:row>
      <xdr:rowOff>31</xdr:rowOff>
    </xdr:to>
    <xdr:pic>
      <xdr:nvPicPr>
        <xdr:cNvPr id="9" name="Image 8">
          <a:extLst>
            <a:ext uri="{FF2B5EF4-FFF2-40B4-BE49-F238E27FC236}">
              <a16:creationId xmlns:a16="http://schemas.microsoft.com/office/drawing/2014/main" id="{B5421F4C-825A-9E65-B8FD-F7243A9E04C0}"/>
            </a:ext>
          </a:extLst>
        </xdr:cNvPr>
        <xdr:cNvPicPr>
          <a:picLocks noChangeAspect="1"/>
        </xdr:cNvPicPr>
      </xdr:nvPicPr>
      <xdr:blipFill>
        <a:blip xmlns:r="http://schemas.openxmlformats.org/officeDocument/2006/relationships" r:embed="rId4"/>
        <a:stretch>
          <a:fillRect/>
        </a:stretch>
      </xdr:blipFill>
      <xdr:spPr>
        <a:xfrm>
          <a:off x="381000" y="9896475"/>
          <a:ext cx="1648055" cy="219106"/>
        </a:xfrm>
        <a:prstGeom prst="rect">
          <a:avLst/>
        </a:prstGeom>
      </xdr:spPr>
    </xdr:pic>
    <xdr:clientData/>
  </xdr:twoCellAnchor>
  <xdr:twoCellAnchor editAs="oneCell">
    <xdr:from>
      <xdr:col>0</xdr:col>
      <xdr:colOff>390525</xdr:colOff>
      <xdr:row>39</xdr:row>
      <xdr:rowOff>180975</xdr:rowOff>
    </xdr:from>
    <xdr:to>
      <xdr:col>0</xdr:col>
      <xdr:colOff>1914738</xdr:colOff>
      <xdr:row>40</xdr:row>
      <xdr:rowOff>190529</xdr:rowOff>
    </xdr:to>
    <xdr:pic>
      <xdr:nvPicPr>
        <xdr:cNvPr id="10" name="Image 9">
          <a:extLst>
            <a:ext uri="{FF2B5EF4-FFF2-40B4-BE49-F238E27FC236}">
              <a16:creationId xmlns:a16="http://schemas.microsoft.com/office/drawing/2014/main" id="{7F3D2DC7-068A-7916-4D35-E949035DD000}"/>
            </a:ext>
          </a:extLst>
        </xdr:cNvPr>
        <xdr:cNvPicPr>
          <a:picLocks noChangeAspect="1"/>
        </xdr:cNvPicPr>
      </xdr:nvPicPr>
      <xdr:blipFill>
        <a:blip xmlns:r="http://schemas.openxmlformats.org/officeDocument/2006/relationships" r:embed="rId5"/>
        <a:stretch>
          <a:fillRect/>
        </a:stretch>
      </xdr:blipFill>
      <xdr:spPr>
        <a:xfrm>
          <a:off x="390525" y="10896600"/>
          <a:ext cx="1524213" cy="209579"/>
        </a:xfrm>
        <a:prstGeom prst="rect">
          <a:avLst/>
        </a:prstGeom>
      </xdr:spPr>
    </xdr:pic>
    <xdr:clientData/>
  </xdr:twoCellAnchor>
  <xdr:twoCellAnchor editAs="oneCell">
    <xdr:from>
      <xdr:col>0</xdr:col>
      <xdr:colOff>419100</xdr:colOff>
      <xdr:row>42</xdr:row>
      <xdr:rowOff>171450</xdr:rowOff>
    </xdr:from>
    <xdr:to>
      <xdr:col>0</xdr:col>
      <xdr:colOff>2267208</xdr:colOff>
      <xdr:row>43</xdr:row>
      <xdr:rowOff>190531</xdr:rowOff>
    </xdr:to>
    <xdr:pic>
      <xdr:nvPicPr>
        <xdr:cNvPr id="12" name="Image 11">
          <a:extLst>
            <a:ext uri="{FF2B5EF4-FFF2-40B4-BE49-F238E27FC236}">
              <a16:creationId xmlns:a16="http://schemas.microsoft.com/office/drawing/2014/main" id="{5074074F-17DE-8699-EC82-4A6F8D81A96B}"/>
            </a:ext>
          </a:extLst>
        </xdr:cNvPr>
        <xdr:cNvPicPr>
          <a:picLocks noChangeAspect="1"/>
        </xdr:cNvPicPr>
      </xdr:nvPicPr>
      <xdr:blipFill>
        <a:blip xmlns:r="http://schemas.openxmlformats.org/officeDocument/2006/relationships" r:embed="rId6"/>
        <a:stretch>
          <a:fillRect/>
        </a:stretch>
      </xdr:blipFill>
      <xdr:spPr>
        <a:xfrm>
          <a:off x="419100" y="11887200"/>
          <a:ext cx="1848108" cy="219106"/>
        </a:xfrm>
        <a:prstGeom prst="rect">
          <a:avLst/>
        </a:prstGeom>
      </xdr:spPr>
    </xdr:pic>
    <xdr:clientData/>
  </xdr:twoCellAnchor>
  <xdr:twoCellAnchor editAs="oneCell">
    <xdr:from>
      <xdr:col>0</xdr:col>
      <xdr:colOff>409575</xdr:colOff>
      <xdr:row>45</xdr:row>
      <xdr:rowOff>190500</xdr:rowOff>
    </xdr:from>
    <xdr:to>
      <xdr:col>0</xdr:col>
      <xdr:colOff>1266945</xdr:colOff>
      <xdr:row>47</xdr:row>
      <xdr:rowOff>19082</xdr:rowOff>
    </xdr:to>
    <xdr:pic>
      <xdr:nvPicPr>
        <xdr:cNvPr id="13" name="Image 12">
          <a:extLst>
            <a:ext uri="{FF2B5EF4-FFF2-40B4-BE49-F238E27FC236}">
              <a16:creationId xmlns:a16="http://schemas.microsoft.com/office/drawing/2014/main" id="{3DD70291-4330-3E8C-F711-2760F76B4500}"/>
            </a:ext>
          </a:extLst>
        </xdr:cNvPr>
        <xdr:cNvPicPr>
          <a:picLocks noChangeAspect="1"/>
        </xdr:cNvPicPr>
      </xdr:nvPicPr>
      <xdr:blipFill>
        <a:blip xmlns:r="http://schemas.openxmlformats.org/officeDocument/2006/relationships" r:embed="rId7"/>
        <a:stretch>
          <a:fillRect/>
        </a:stretch>
      </xdr:blipFill>
      <xdr:spPr>
        <a:xfrm>
          <a:off x="409575" y="12906375"/>
          <a:ext cx="857370"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1454149</xdr:colOff>
      <xdr:row>2</xdr:row>
      <xdr:rowOff>98424</xdr:rowOff>
    </xdr:from>
    <xdr:to>
      <xdr:col>2</xdr:col>
      <xdr:colOff>1019174</xdr:colOff>
      <xdr:row>8</xdr:row>
      <xdr:rowOff>1575887</xdr:rowOff>
    </xdr:to>
    <xdr:pic>
      <xdr:nvPicPr>
        <xdr:cNvPr id="2" name="Image 1">
          <a:extLst>
            <a:ext uri="{FF2B5EF4-FFF2-40B4-BE49-F238E27FC236}">
              <a16:creationId xmlns:a16="http://schemas.microsoft.com/office/drawing/2014/main" id="{2FA97E7C-FAF0-417D-92D7-EC3F1C9538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4149" y="2222499"/>
          <a:ext cx="4594225" cy="31919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628650</xdr:colOff>
      <xdr:row>2</xdr:row>
      <xdr:rowOff>133350</xdr:rowOff>
    </xdr:from>
    <xdr:to>
      <xdr:col>2</xdr:col>
      <xdr:colOff>1590675</xdr:colOff>
      <xdr:row>5</xdr:row>
      <xdr:rowOff>85725</xdr:rowOff>
    </xdr:to>
    <xdr:sp macro="[0]!ExporterPDF_ExclureDeuxFeuilles" textlink="">
      <xdr:nvSpPr>
        <xdr:cNvPr id="2" name="Bouton1">
          <a:extLst>
            <a:ext uri="{FF2B5EF4-FFF2-40B4-BE49-F238E27FC236}">
              <a16:creationId xmlns:a16="http://schemas.microsoft.com/office/drawing/2014/main" id="{8F19E31E-6F66-459D-AB17-46670486DE1D}"/>
            </a:ext>
          </a:extLst>
        </xdr:cNvPr>
        <xdr:cNvSpPr/>
      </xdr:nvSpPr>
      <xdr:spPr>
        <a:xfrm>
          <a:off x="3571875" y="1047750"/>
          <a:ext cx="2066925" cy="523875"/>
        </a:xfrm>
        <a:prstGeom prst="roundRect">
          <a:avLst/>
        </a:prstGeom>
        <a:solidFill>
          <a:srgbClr val="8064A2"/>
        </a:solidFill>
        <a:ln>
          <a:solidFill>
            <a:srgbClr val="322642"/>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Exporter rapport en PDF</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F733-CD14-4EA2-A505-15C42CADDA7B}">
  <sheetPr codeName="Notice">
    <tabColor rgb="FFC9D7F2"/>
    <pageSetUpPr fitToPage="1"/>
  </sheetPr>
  <dimension ref="A1:A68"/>
  <sheetViews>
    <sheetView showGridLines="0" tabSelected="1" zoomScaleNormal="100" workbookViewId="0">
      <pane xSplit="1" topLeftCell="B1" activePane="topRight" state="frozen"/>
      <selection pane="topRight"/>
    </sheetView>
  </sheetViews>
  <sheetFormatPr baseColWidth="10" defaultColWidth="120.28515625" defaultRowHeight="15.75" x14ac:dyDescent="0.25"/>
  <cols>
    <col min="1" max="1" width="125.85546875" style="76" customWidth="1"/>
    <col min="2" max="16384" width="120.28515625" style="76"/>
  </cols>
  <sheetData>
    <row r="1" spans="1:1" customFormat="1" ht="57" customHeight="1" thickBot="1" x14ac:dyDescent="0.3">
      <c r="A1" s="97" t="s">
        <v>0</v>
      </c>
    </row>
    <row r="2" spans="1:1" customFormat="1" ht="15" x14ac:dyDescent="0.25">
      <c r="A2" s="100"/>
    </row>
    <row r="3" spans="1:1" customFormat="1" ht="36.950000000000003" customHeight="1" x14ac:dyDescent="0.25">
      <c r="A3" s="25" t="s">
        <v>1</v>
      </c>
    </row>
    <row r="4" spans="1:1" customFormat="1" x14ac:dyDescent="0.25">
      <c r="A4" s="101"/>
    </row>
    <row r="5" spans="1:1" customFormat="1" x14ac:dyDescent="0.25">
      <c r="A5" s="109" t="s">
        <v>2</v>
      </c>
    </row>
    <row r="6" spans="1:1" customFormat="1" x14ac:dyDescent="0.25">
      <c r="A6" s="110"/>
    </row>
    <row r="7" spans="1:1" customFormat="1" x14ac:dyDescent="0.25">
      <c r="A7" s="142" t="s">
        <v>3</v>
      </c>
    </row>
    <row r="8" spans="1:1" customFormat="1" x14ac:dyDescent="0.25">
      <c r="A8" s="110"/>
    </row>
    <row r="9" spans="1:1" customFormat="1" ht="47.25" x14ac:dyDescent="0.25">
      <c r="A9" s="27" t="s">
        <v>336</v>
      </c>
    </row>
    <row r="10" spans="1:1" customFormat="1" x14ac:dyDescent="0.25">
      <c r="A10" s="110"/>
    </row>
    <row r="11" spans="1:1" customFormat="1" ht="31.5" x14ac:dyDescent="0.25">
      <c r="A11" s="27" t="s">
        <v>4</v>
      </c>
    </row>
    <row r="12" spans="1:1" customFormat="1" x14ac:dyDescent="0.25">
      <c r="A12" s="101"/>
    </row>
    <row r="13" spans="1:1" customFormat="1" ht="36.950000000000003" customHeight="1" x14ac:dyDescent="0.25">
      <c r="A13" s="25" t="s">
        <v>5</v>
      </c>
    </row>
    <row r="15" spans="1:1" ht="31.5" x14ac:dyDescent="0.25">
      <c r="A15" s="104" t="s">
        <v>6</v>
      </c>
    </row>
    <row r="16" spans="1:1" x14ac:dyDescent="0.25">
      <c r="A16" s="104"/>
    </row>
    <row r="17" spans="1:1" x14ac:dyDescent="0.25">
      <c r="A17" s="24" t="s">
        <v>7</v>
      </c>
    </row>
    <row r="18" spans="1:1" x14ac:dyDescent="0.25">
      <c r="A18" s="106"/>
    </row>
    <row r="19" spans="1:1" x14ac:dyDescent="0.25">
      <c r="A19" s="107" t="s">
        <v>8</v>
      </c>
    </row>
    <row r="20" spans="1:1" x14ac:dyDescent="0.25">
      <c r="A20" s="108"/>
    </row>
    <row r="21" spans="1:1" x14ac:dyDescent="0.25">
      <c r="A21" s="107" t="s">
        <v>9</v>
      </c>
    </row>
    <row r="22" spans="1:1" x14ac:dyDescent="0.25">
      <c r="A22" s="108"/>
    </row>
    <row r="23" spans="1:1" x14ac:dyDescent="0.25">
      <c r="A23" s="107" t="s">
        <v>10</v>
      </c>
    </row>
    <row r="25" spans="1:1" customFormat="1" ht="36.950000000000003" customHeight="1" x14ac:dyDescent="0.25">
      <c r="A25" s="25" t="s">
        <v>11</v>
      </c>
    </row>
    <row r="27" spans="1:1" ht="47.25" x14ac:dyDescent="0.25">
      <c r="A27" s="104" t="s">
        <v>12</v>
      </c>
    </row>
    <row r="29" spans="1:1" customFormat="1" x14ac:dyDescent="0.25">
      <c r="A29" s="102" t="s">
        <v>13</v>
      </c>
    </row>
    <row r="30" spans="1:1" customFormat="1" x14ac:dyDescent="0.25">
      <c r="A30" s="103" t="s">
        <v>14</v>
      </c>
    </row>
    <row r="31" spans="1:1" customFormat="1" x14ac:dyDescent="0.25">
      <c r="A31" s="98"/>
    </row>
    <row r="32" spans="1:1" customFormat="1" x14ac:dyDescent="0.25">
      <c r="A32" s="102" t="s">
        <v>15</v>
      </c>
    </row>
    <row r="33" spans="1:1" customFormat="1" ht="47.25" x14ac:dyDescent="0.25">
      <c r="A33" s="103" t="s">
        <v>16</v>
      </c>
    </row>
    <row r="34" spans="1:1" customFormat="1" x14ac:dyDescent="0.25">
      <c r="A34" s="98"/>
    </row>
    <row r="35" spans="1:1" customFormat="1" x14ac:dyDescent="0.25">
      <c r="A35" s="102" t="s">
        <v>17</v>
      </c>
    </row>
    <row r="36" spans="1:1" customFormat="1" ht="47.25" x14ac:dyDescent="0.25">
      <c r="A36" s="103" t="s">
        <v>18</v>
      </c>
    </row>
    <row r="37" spans="1:1" customFormat="1" x14ac:dyDescent="0.25">
      <c r="A37" s="98"/>
    </row>
    <row r="38" spans="1:1" customFormat="1" x14ac:dyDescent="0.25">
      <c r="A38" s="102" t="s">
        <v>19</v>
      </c>
    </row>
    <row r="39" spans="1:1" customFormat="1" ht="47.25" x14ac:dyDescent="0.25">
      <c r="A39" s="103" t="s">
        <v>20</v>
      </c>
    </row>
    <row r="40" spans="1:1" customFormat="1" x14ac:dyDescent="0.25">
      <c r="A40" s="98"/>
    </row>
    <row r="41" spans="1:1" customFormat="1" x14ac:dyDescent="0.25">
      <c r="A41" s="102" t="s">
        <v>21</v>
      </c>
    </row>
    <row r="42" spans="1:1" customFormat="1" ht="47.25" x14ac:dyDescent="0.25">
      <c r="A42" s="103" t="s">
        <v>22</v>
      </c>
    </row>
    <row r="43" spans="1:1" customFormat="1" x14ac:dyDescent="0.25">
      <c r="A43" s="98"/>
    </row>
    <row r="44" spans="1:1" customFormat="1" x14ac:dyDescent="0.25">
      <c r="A44" s="102" t="s">
        <v>23</v>
      </c>
    </row>
    <row r="45" spans="1:1" customFormat="1" ht="47.25" x14ac:dyDescent="0.25">
      <c r="A45" s="103" t="s">
        <v>24</v>
      </c>
    </row>
    <row r="46" spans="1:1" customFormat="1" x14ac:dyDescent="0.25">
      <c r="A46" s="102"/>
    </row>
    <row r="47" spans="1:1" customFormat="1" x14ac:dyDescent="0.25">
      <c r="A47" s="102" t="s">
        <v>25</v>
      </c>
    </row>
    <row r="48" spans="1:1" customFormat="1" x14ac:dyDescent="0.25">
      <c r="A48" s="103" t="s">
        <v>26</v>
      </c>
    </row>
    <row r="49" spans="1:1" x14ac:dyDescent="0.25">
      <c r="A49" s="27"/>
    </row>
    <row r="50" spans="1:1" x14ac:dyDescent="0.25">
      <c r="A50" s="76" t="s">
        <v>27</v>
      </c>
    </row>
    <row r="52" spans="1:1" x14ac:dyDescent="0.25">
      <c r="A52" s="103" t="s">
        <v>28</v>
      </c>
    </row>
    <row r="53" spans="1:1" x14ac:dyDescent="0.25">
      <c r="A53" s="103"/>
    </row>
    <row r="54" spans="1:1" x14ac:dyDescent="0.25">
      <c r="A54" s="103" t="s">
        <v>29</v>
      </c>
    </row>
    <row r="55" spans="1:1" x14ac:dyDescent="0.25">
      <c r="A55" s="103"/>
    </row>
    <row r="56" spans="1:1" x14ac:dyDescent="0.25">
      <c r="A56" s="103" t="s">
        <v>30</v>
      </c>
    </row>
    <row r="58" spans="1:1" customFormat="1" ht="36.950000000000003" customHeight="1" x14ac:dyDescent="0.25">
      <c r="A58" s="25" t="s">
        <v>31</v>
      </c>
    </row>
    <row r="60" spans="1:1" ht="63" x14ac:dyDescent="0.25">
      <c r="A60" s="104" t="s">
        <v>32</v>
      </c>
    </row>
    <row r="62" spans="1:1" customFormat="1" ht="36.950000000000003" customHeight="1" x14ac:dyDescent="0.25">
      <c r="A62" s="25" t="s">
        <v>33</v>
      </c>
    </row>
    <row r="64" spans="1:1" ht="47.25" x14ac:dyDescent="0.25">
      <c r="A64" s="104" t="s">
        <v>34</v>
      </c>
    </row>
    <row r="66" spans="1:1" customFormat="1" ht="36.950000000000003" customHeight="1" x14ac:dyDescent="0.25">
      <c r="A66" s="25" t="s">
        <v>35</v>
      </c>
    </row>
    <row r="68" spans="1:1" ht="63" x14ac:dyDescent="0.25">
      <c r="A68" s="105" t="s">
        <v>36</v>
      </c>
    </row>
  </sheetData>
  <sheetProtection sheet="1" selectLockedCells="1"/>
  <conditionalFormatting sqref="A7">
    <cfRule type="expression" priority="2">
      <formula>#REF!</formula>
    </cfRule>
  </conditionalFormatting>
  <conditionalFormatting sqref="A7">
    <cfRule type="expression" dxfId="0" priority="1">
      <formula>ISNA(D7)</formula>
    </cfRule>
  </conditionalFormatting>
  <printOptions horizontalCentered="1"/>
  <pageMargins left="0.3" right="0.3" top="0.5" bottom="0.5" header="0.3" footer="0.3"/>
  <pageSetup paperSize="9" scale="77"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5EDC2-FB87-443F-860D-B71ABCB917A7}">
  <sheetPr codeName="Garde">
    <tabColor rgb="FFB5D3E7"/>
    <pageSetUpPr fitToPage="1"/>
  </sheetPr>
  <dimension ref="A1:C37"/>
  <sheetViews>
    <sheetView showGridLines="0" workbookViewId="0">
      <selection sqref="A1:C1"/>
    </sheetView>
  </sheetViews>
  <sheetFormatPr baseColWidth="10" defaultColWidth="11.42578125" defaultRowHeight="15" x14ac:dyDescent="0.25"/>
  <cols>
    <col min="1" max="3" width="37.7109375" customWidth="1"/>
  </cols>
  <sheetData>
    <row r="1" spans="1:3" ht="145.5" customHeight="1" x14ac:dyDescent="0.7">
      <c r="A1" s="153" t="s">
        <v>37</v>
      </c>
      <c r="B1" s="154"/>
      <c r="C1" s="155"/>
    </row>
    <row r="2" spans="1:3" ht="26.25" x14ac:dyDescent="0.4">
      <c r="A2" s="86"/>
      <c r="C2" s="87"/>
    </row>
    <row r="3" spans="1:3" ht="26.25" x14ac:dyDescent="0.4">
      <c r="A3" s="86"/>
      <c r="C3" s="87"/>
    </row>
    <row r="4" spans="1:3" ht="26.25" x14ac:dyDescent="0.4">
      <c r="A4" s="86"/>
      <c r="C4" s="87"/>
    </row>
    <row r="5" spans="1:3" ht="26.25" x14ac:dyDescent="0.4">
      <c r="A5" s="86"/>
      <c r="C5" s="87"/>
    </row>
    <row r="6" spans="1:3" ht="26.25" x14ac:dyDescent="0.4">
      <c r="A6" s="86"/>
      <c r="C6" s="87"/>
    </row>
    <row r="7" spans="1:3" x14ac:dyDescent="0.25">
      <c r="A7" s="88"/>
      <c r="C7" s="87"/>
    </row>
    <row r="8" spans="1:3" x14ac:dyDescent="0.25">
      <c r="A8" s="88"/>
      <c r="C8" s="87"/>
    </row>
    <row r="9" spans="1:3" ht="185.25" customHeight="1" x14ac:dyDescent="0.25">
      <c r="A9" s="88"/>
      <c r="B9" s="89"/>
      <c r="C9" s="90"/>
    </row>
    <row r="10" spans="1:3" ht="15.75" x14ac:dyDescent="0.25">
      <c r="A10" s="150" t="s">
        <v>38</v>
      </c>
      <c r="B10" s="151"/>
      <c r="C10" s="152"/>
    </row>
    <row r="11" spans="1:3" x14ac:dyDescent="0.25">
      <c r="A11" s="147" t="s">
        <v>39</v>
      </c>
      <c r="B11" s="148"/>
      <c r="C11" s="149"/>
    </row>
    <row r="12" spans="1:3" ht="15.75" x14ac:dyDescent="0.25">
      <c r="A12" s="150" t="s">
        <v>40</v>
      </c>
      <c r="B12" s="151"/>
      <c r="C12" s="152"/>
    </row>
    <row r="13" spans="1:3" x14ac:dyDescent="0.25">
      <c r="A13" s="147" t="s">
        <v>39</v>
      </c>
      <c r="B13" s="148"/>
      <c r="C13" s="149"/>
    </row>
    <row r="14" spans="1:3" ht="15.75" x14ac:dyDescent="0.25">
      <c r="A14" s="150" t="s">
        <v>41</v>
      </c>
      <c r="B14" s="151"/>
      <c r="C14" s="152"/>
    </row>
    <row r="15" spans="1:3" x14ac:dyDescent="0.25">
      <c r="A15" s="147" t="s">
        <v>39</v>
      </c>
      <c r="B15" s="148"/>
      <c r="C15" s="149"/>
    </row>
    <row r="16" spans="1:3" ht="15.75" x14ac:dyDescent="0.25">
      <c r="A16" s="150" t="s">
        <v>42</v>
      </c>
      <c r="B16" s="151"/>
      <c r="C16" s="152"/>
    </row>
    <row r="17" spans="1:3" x14ac:dyDescent="0.25">
      <c r="A17" s="147" t="s">
        <v>39</v>
      </c>
      <c r="B17" s="148"/>
      <c r="C17" s="149"/>
    </row>
    <row r="18" spans="1:3" ht="15.75" x14ac:dyDescent="0.25">
      <c r="A18" s="150" t="s">
        <v>43</v>
      </c>
      <c r="B18" s="151"/>
      <c r="C18" s="152"/>
    </row>
    <row r="19" spans="1:3" x14ac:dyDescent="0.25">
      <c r="A19" s="147" t="s">
        <v>39</v>
      </c>
      <c r="B19" s="148"/>
      <c r="C19" s="149"/>
    </row>
    <row r="20" spans="1:3" ht="15.75" x14ac:dyDescent="0.25">
      <c r="A20" s="150" t="s">
        <v>44</v>
      </c>
      <c r="B20" s="151"/>
      <c r="C20" s="152"/>
    </row>
    <row r="21" spans="1:3" x14ac:dyDescent="0.25">
      <c r="A21" s="147" t="s">
        <v>39</v>
      </c>
      <c r="B21" s="148"/>
      <c r="C21" s="149"/>
    </row>
    <row r="22" spans="1:3" ht="15.75" x14ac:dyDescent="0.25">
      <c r="A22" s="150" t="s">
        <v>45</v>
      </c>
      <c r="B22" s="151"/>
      <c r="C22" s="152"/>
    </row>
    <row r="23" spans="1:3" x14ac:dyDescent="0.25">
      <c r="A23" s="147" t="s">
        <v>39</v>
      </c>
      <c r="B23" s="148"/>
      <c r="C23" s="149"/>
    </row>
    <row r="24" spans="1:3" ht="15.75" x14ac:dyDescent="0.25">
      <c r="A24" s="150" t="s">
        <v>46</v>
      </c>
      <c r="B24" s="151"/>
      <c r="C24" s="152"/>
    </row>
    <row r="25" spans="1:3" x14ac:dyDescent="0.25">
      <c r="A25" s="147" t="s">
        <v>39</v>
      </c>
      <c r="B25" s="148"/>
      <c r="C25" s="149"/>
    </row>
    <row r="26" spans="1:3" x14ac:dyDescent="0.25">
      <c r="A26" s="88"/>
      <c r="C26" s="87"/>
    </row>
    <row r="27" spans="1:3" ht="15.75" x14ac:dyDescent="0.25">
      <c r="A27" s="150"/>
      <c r="B27" s="151"/>
      <c r="C27" s="152"/>
    </row>
    <row r="28" spans="1:3" ht="15.75" x14ac:dyDescent="0.25">
      <c r="A28" s="92"/>
      <c r="B28" s="93"/>
      <c r="C28" s="94"/>
    </row>
    <row r="29" spans="1:3" ht="15.75" x14ac:dyDescent="0.25">
      <c r="A29" s="92"/>
      <c r="B29" s="93"/>
      <c r="C29" s="94"/>
    </row>
    <row r="30" spans="1:3" ht="15.75" x14ac:dyDescent="0.25">
      <c r="A30" s="92"/>
      <c r="B30" s="93"/>
      <c r="C30" s="94"/>
    </row>
    <row r="31" spans="1:3" ht="15.75" x14ac:dyDescent="0.25">
      <c r="A31" s="92"/>
      <c r="B31" s="93"/>
      <c r="C31" s="94"/>
    </row>
    <row r="32" spans="1:3" ht="15.75" x14ac:dyDescent="0.25">
      <c r="A32" s="92"/>
      <c r="B32" s="93"/>
      <c r="C32" s="94"/>
    </row>
    <row r="33" spans="1:3" ht="15.75" x14ac:dyDescent="0.25">
      <c r="A33" s="92"/>
      <c r="B33" s="93"/>
      <c r="C33" s="94"/>
    </row>
    <row r="34" spans="1:3" ht="15.75" x14ac:dyDescent="0.25">
      <c r="A34" s="92"/>
      <c r="B34" s="93"/>
      <c r="C34" s="94"/>
    </row>
    <row r="35" spans="1:3" ht="15.75" x14ac:dyDescent="0.25">
      <c r="A35" s="92"/>
      <c r="B35" s="93"/>
      <c r="C35" s="94"/>
    </row>
    <row r="36" spans="1:3" x14ac:dyDescent="0.25">
      <c r="A36" s="88"/>
      <c r="C36" s="87"/>
    </row>
    <row r="37" spans="1:3" ht="15.75" thickBot="1" x14ac:dyDescent="0.3">
      <c r="A37" s="144" t="s">
        <v>47</v>
      </c>
      <c r="B37" s="145"/>
      <c r="C37" s="146"/>
    </row>
  </sheetData>
  <sheetProtection sheet="1" objects="1" scenarios="1" selectLockedCells="1"/>
  <mergeCells count="19">
    <mergeCell ref="A20:C20"/>
    <mergeCell ref="A1:C1"/>
    <mergeCell ref="A10:C10"/>
    <mergeCell ref="A11:C11"/>
    <mergeCell ref="A12:C12"/>
    <mergeCell ref="A13:C13"/>
    <mergeCell ref="A14:C14"/>
    <mergeCell ref="A15:C15"/>
    <mergeCell ref="A16:C16"/>
    <mergeCell ref="A17:C17"/>
    <mergeCell ref="A18:C18"/>
    <mergeCell ref="A19:C19"/>
    <mergeCell ref="A37:C37"/>
    <mergeCell ref="A21:C21"/>
    <mergeCell ref="A22:C22"/>
    <mergeCell ref="A23:C23"/>
    <mergeCell ref="A24:C24"/>
    <mergeCell ref="A25:C25"/>
    <mergeCell ref="A27:C27"/>
  </mergeCells>
  <printOptions horizontalCentered="1"/>
  <pageMargins left="0.3" right="0.3" top="0.5" bottom="0.5" header="0.3" footer="0.3"/>
  <pageSetup paperSize="9" scale="5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AB257-FAF1-41F8-AEAE-80A73971F51C}">
  <sheetPr codeName="Hypotheses">
    <tabColor rgb="FFFFFFCC"/>
    <pageSetUpPr fitToPage="1"/>
  </sheetPr>
  <dimension ref="A1:K40"/>
  <sheetViews>
    <sheetView showGridLines="0" workbookViewId="0">
      <pane xSplit="1" topLeftCell="B1" activePane="topRight" state="frozen"/>
      <selection sqref="A1:C1"/>
      <selection pane="topRight" activeCell="C30" sqref="C30"/>
    </sheetView>
  </sheetViews>
  <sheetFormatPr baseColWidth="10" defaultColWidth="14" defaultRowHeight="15" x14ac:dyDescent="0.25"/>
  <cols>
    <col min="1" max="1" width="60.140625" style="4" bestFit="1" customWidth="1"/>
    <col min="2" max="2" width="15.28515625" style="4" customWidth="1"/>
    <col min="3" max="10" width="11.7109375" style="4" customWidth="1"/>
    <col min="11" max="11" width="89.140625" style="4" customWidth="1"/>
    <col min="12" max="16384" width="14" style="4"/>
  </cols>
  <sheetData>
    <row r="1" spans="1:11" ht="57" customHeight="1" thickBot="1" x14ac:dyDescent="0.3">
      <c r="A1" s="158" t="s">
        <v>48</v>
      </c>
      <c r="B1" s="158"/>
      <c r="C1" s="158"/>
      <c r="D1" s="158"/>
      <c r="E1" s="158"/>
      <c r="F1" s="158"/>
      <c r="G1" s="158"/>
      <c r="H1" s="158"/>
      <c r="I1" s="158"/>
      <c r="J1" s="158"/>
    </row>
    <row r="2" spans="1:11" s="26" customFormat="1" ht="36.950000000000003" customHeight="1" x14ac:dyDescent="0.3">
      <c r="A2" s="25" t="s">
        <v>49</v>
      </c>
      <c r="B2" s="25" t="s">
        <v>50</v>
      </c>
      <c r="C2" s="163" t="s">
        <v>51</v>
      </c>
      <c r="D2" s="163"/>
      <c r="E2" s="163"/>
      <c r="F2" s="163"/>
      <c r="G2" s="163"/>
      <c r="H2" s="163"/>
      <c r="I2" s="163"/>
      <c r="J2" s="163"/>
      <c r="K2" s="163"/>
    </row>
    <row r="3" spans="1:11" s="24" customFormat="1" ht="20.25" customHeight="1" x14ac:dyDescent="0.25">
      <c r="A3" s="28" t="s">
        <v>52</v>
      </c>
      <c r="B3" s="91"/>
      <c r="C3" s="159" t="s">
        <v>53</v>
      </c>
      <c r="D3" s="159"/>
      <c r="E3" s="159"/>
      <c r="F3" s="159"/>
      <c r="G3" s="159"/>
      <c r="H3" s="159"/>
      <c r="I3" s="159"/>
      <c r="J3" s="159"/>
    </row>
    <row r="4" spans="1:11" ht="20.25" customHeight="1" x14ac:dyDescent="0.25">
      <c r="A4" s="36" t="s">
        <v>54</v>
      </c>
      <c r="B4" s="73"/>
      <c r="C4" s="156" t="s">
        <v>55</v>
      </c>
      <c r="D4" s="157"/>
      <c r="E4" s="157"/>
      <c r="F4" s="157"/>
      <c r="G4" s="157"/>
      <c r="H4" s="157"/>
      <c r="I4" s="157"/>
      <c r="J4" s="157"/>
      <c r="K4" s="157"/>
    </row>
    <row r="5" spans="1:11" ht="20.25" customHeight="1" x14ac:dyDescent="0.25">
      <c r="A5" s="36" t="s">
        <v>56</v>
      </c>
      <c r="B5" s="32"/>
      <c r="C5" s="156" t="s">
        <v>57</v>
      </c>
      <c r="D5" s="156"/>
      <c r="E5" s="156"/>
      <c r="F5" s="156"/>
      <c r="G5" s="156"/>
      <c r="H5" s="156"/>
      <c r="I5" s="156"/>
      <c r="J5" s="156"/>
      <c r="K5" s="156"/>
    </row>
    <row r="6" spans="1:11" ht="20.25" customHeight="1" x14ac:dyDescent="0.25">
      <c r="A6" s="36" t="s">
        <v>58</v>
      </c>
      <c r="B6" s="82"/>
      <c r="C6" s="156" t="s">
        <v>59</v>
      </c>
      <c r="D6" s="156"/>
      <c r="E6" s="156"/>
      <c r="F6" s="156"/>
      <c r="G6" s="156"/>
      <c r="H6" s="156"/>
      <c r="I6" s="156"/>
      <c r="J6" s="156"/>
      <c r="K6" s="156"/>
    </row>
    <row r="7" spans="1:11" ht="20.25" customHeight="1" x14ac:dyDescent="0.25">
      <c r="A7" s="36" t="s">
        <v>60</v>
      </c>
      <c r="B7" s="82"/>
      <c r="C7" s="156" t="s">
        <v>61</v>
      </c>
      <c r="D7" s="156"/>
      <c r="E7" s="156"/>
      <c r="F7" s="156"/>
      <c r="G7" s="156"/>
      <c r="H7" s="156"/>
      <c r="I7" s="156"/>
      <c r="J7" s="156"/>
      <c r="K7" s="156"/>
    </row>
    <row r="8" spans="1:11" s="24" customFormat="1" ht="20.25" customHeight="1" x14ac:dyDescent="0.25">
      <c r="A8" s="28" t="s">
        <v>62</v>
      </c>
      <c r="B8" s="43"/>
      <c r="C8" s="164"/>
      <c r="D8" s="164"/>
      <c r="E8" s="164"/>
      <c r="F8" s="164"/>
      <c r="G8" s="164"/>
      <c r="H8" s="164"/>
      <c r="I8" s="164"/>
      <c r="J8" s="164"/>
      <c r="K8" s="164"/>
    </row>
    <row r="9" spans="1:11" ht="20.25" customHeight="1" x14ac:dyDescent="0.25">
      <c r="A9" s="36" t="s">
        <v>63</v>
      </c>
      <c r="B9" s="34"/>
      <c r="C9" s="156" t="s">
        <v>64</v>
      </c>
      <c r="D9" s="156"/>
      <c r="E9" s="156"/>
      <c r="F9" s="156"/>
      <c r="G9" s="156"/>
      <c r="H9" s="156"/>
      <c r="I9" s="156"/>
      <c r="J9" s="156"/>
      <c r="K9" s="156"/>
    </row>
    <row r="10" spans="1:11" ht="20.25" customHeight="1" x14ac:dyDescent="0.25">
      <c r="A10" s="36" t="s">
        <v>65</v>
      </c>
      <c r="B10" s="33"/>
      <c r="C10" s="156" t="s">
        <v>64</v>
      </c>
      <c r="D10" s="156"/>
      <c r="E10" s="156"/>
      <c r="F10" s="156"/>
      <c r="G10" s="156"/>
      <c r="H10" s="156"/>
      <c r="I10" s="156"/>
      <c r="J10" s="156"/>
      <c r="K10" s="156"/>
    </row>
    <row r="11" spans="1:11" ht="20.25" customHeight="1" x14ac:dyDescent="0.25">
      <c r="A11" s="36" t="s">
        <v>66</v>
      </c>
      <c r="B11" s="33"/>
      <c r="C11" s="156" t="s">
        <v>64</v>
      </c>
      <c r="D11" s="156"/>
      <c r="E11" s="156"/>
      <c r="F11" s="156"/>
      <c r="G11" s="156"/>
      <c r="H11" s="156"/>
      <c r="I11" s="156"/>
      <c r="J11" s="156"/>
      <c r="K11" s="156"/>
    </row>
    <row r="12" spans="1:11" ht="20.25" customHeight="1" x14ac:dyDescent="0.25">
      <c r="A12" s="36" t="s">
        <v>67</v>
      </c>
      <c r="B12" s="33"/>
      <c r="C12" s="156" t="s">
        <v>68</v>
      </c>
      <c r="D12" s="156"/>
      <c r="E12" s="156"/>
      <c r="F12" s="156"/>
      <c r="G12" s="156"/>
      <c r="H12" s="156"/>
      <c r="I12" s="156"/>
      <c r="J12" s="156"/>
      <c r="K12" s="156"/>
    </row>
    <row r="13" spans="1:11" ht="20.25" customHeight="1" x14ac:dyDescent="0.25">
      <c r="A13" s="36" t="s">
        <v>69</v>
      </c>
      <c r="B13" s="74"/>
      <c r="C13" s="156" t="s">
        <v>70</v>
      </c>
      <c r="D13" s="156"/>
      <c r="E13" s="156"/>
      <c r="F13" s="156"/>
      <c r="G13" s="156"/>
      <c r="H13" s="156"/>
      <c r="I13" s="156"/>
      <c r="J13" s="156"/>
      <c r="K13" s="156"/>
    </row>
    <row r="14" spans="1:11" ht="20.25" customHeight="1" x14ac:dyDescent="0.25">
      <c r="A14" s="37" t="s">
        <v>71</v>
      </c>
      <c r="B14" s="33"/>
      <c r="C14" s="156" t="s">
        <v>72</v>
      </c>
      <c r="D14" s="156"/>
      <c r="E14" s="156"/>
      <c r="F14" s="156"/>
      <c r="G14" s="156"/>
      <c r="H14" s="156"/>
      <c r="I14" s="156"/>
      <c r="J14" s="156"/>
      <c r="K14" s="156"/>
    </row>
    <row r="15" spans="1:11" ht="20.25" customHeight="1" x14ac:dyDescent="0.25">
      <c r="A15" s="36" t="s">
        <v>73</v>
      </c>
      <c r="B15" s="33"/>
      <c r="C15" s="156" t="s">
        <v>74</v>
      </c>
      <c r="D15" s="156"/>
      <c r="E15" s="156"/>
      <c r="F15" s="156"/>
      <c r="G15" s="156"/>
      <c r="H15" s="156"/>
      <c r="I15" s="156"/>
      <c r="J15" s="156"/>
      <c r="K15" s="156"/>
    </row>
    <row r="16" spans="1:11" ht="20.25" customHeight="1" x14ac:dyDescent="0.25">
      <c r="A16" s="36" t="s">
        <v>75</v>
      </c>
      <c r="B16" s="33"/>
      <c r="C16" s="156" t="s">
        <v>76</v>
      </c>
      <c r="D16" s="156"/>
      <c r="E16" s="156"/>
      <c r="F16" s="156"/>
      <c r="G16" s="156"/>
      <c r="H16" s="156"/>
      <c r="I16" s="156"/>
      <c r="J16" s="156"/>
      <c r="K16" s="156"/>
    </row>
    <row r="17" spans="1:11" ht="20.25" customHeight="1" x14ac:dyDescent="0.25">
      <c r="A17" s="36" t="s">
        <v>77</v>
      </c>
      <c r="B17" s="33"/>
      <c r="C17" s="156" t="s">
        <v>78</v>
      </c>
      <c r="D17" s="156"/>
      <c r="E17" s="156"/>
      <c r="F17" s="156"/>
      <c r="G17" s="156"/>
      <c r="H17" s="156"/>
      <c r="I17" s="156"/>
      <c r="J17" s="156"/>
      <c r="K17" s="156"/>
    </row>
    <row r="18" spans="1:11" ht="20.25" customHeight="1" x14ac:dyDescent="0.25">
      <c r="A18" s="36" t="s">
        <v>79</v>
      </c>
      <c r="B18" s="74"/>
      <c r="C18" s="156" t="s">
        <v>80</v>
      </c>
      <c r="D18" s="156"/>
      <c r="E18" s="156"/>
      <c r="F18" s="156"/>
      <c r="G18" s="156"/>
      <c r="H18" s="156"/>
      <c r="I18" s="156"/>
      <c r="J18" s="156"/>
      <c r="K18" s="156"/>
    </row>
    <row r="19" spans="1:11" ht="20.25" customHeight="1" x14ac:dyDescent="0.25">
      <c r="A19" s="36" t="s">
        <v>81</v>
      </c>
      <c r="B19" s="74"/>
      <c r="C19" s="166" t="s">
        <v>82</v>
      </c>
      <c r="D19" s="167"/>
      <c r="E19" s="167"/>
      <c r="F19" s="167"/>
      <c r="G19" s="167"/>
      <c r="H19" s="167"/>
      <c r="I19" s="167"/>
      <c r="J19" s="167"/>
      <c r="K19" s="168"/>
    </row>
    <row r="20" spans="1:11" ht="20.25" customHeight="1" x14ac:dyDescent="0.25">
      <c r="A20" s="38" t="s">
        <v>83</v>
      </c>
      <c r="B20" s="33"/>
      <c r="C20" s="156" t="s">
        <v>84</v>
      </c>
      <c r="D20" s="156"/>
      <c r="E20" s="156"/>
      <c r="F20" s="156"/>
      <c r="G20" s="156"/>
      <c r="H20" s="156"/>
      <c r="I20" s="156"/>
      <c r="J20" s="156"/>
      <c r="K20" s="156"/>
    </row>
    <row r="21" spans="1:11" ht="20.25" customHeight="1" x14ac:dyDescent="0.25">
      <c r="A21" s="36" t="s">
        <v>85</v>
      </c>
      <c r="B21" s="33"/>
      <c r="C21" s="156" t="s">
        <v>86</v>
      </c>
      <c r="D21" s="156"/>
      <c r="E21" s="156"/>
      <c r="F21" s="156"/>
      <c r="G21" s="156"/>
      <c r="H21" s="156"/>
      <c r="I21" s="156"/>
      <c r="J21" s="156"/>
      <c r="K21" s="156"/>
    </row>
    <row r="22" spans="1:11" ht="20.25" customHeight="1" x14ac:dyDescent="0.25">
      <c r="A22" s="36" t="s">
        <v>87</v>
      </c>
      <c r="B22" s="33"/>
      <c r="C22" s="156" t="s">
        <v>88</v>
      </c>
      <c r="D22" s="156"/>
      <c r="E22" s="156"/>
      <c r="F22" s="156"/>
      <c r="G22" s="156"/>
      <c r="H22" s="156"/>
      <c r="I22" s="156"/>
      <c r="J22" s="156"/>
      <c r="K22" s="156"/>
    </row>
    <row r="23" spans="1:11" ht="20.25" customHeight="1" x14ac:dyDescent="0.25">
      <c r="A23" s="36" t="s">
        <v>89</v>
      </c>
      <c r="B23" s="33"/>
      <c r="C23" s="156" t="s">
        <v>90</v>
      </c>
      <c r="D23" s="156"/>
      <c r="E23" s="156"/>
      <c r="F23" s="156"/>
      <c r="G23" s="156"/>
      <c r="H23" s="156"/>
      <c r="I23" s="156"/>
      <c r="J23" s="156"/>
      <c r="K23" s="156"/>
    </row>
    <row r="24" spans="1:11" ht="20.25" customHeight="1" x14ac:dyDescent="0.25">
      <c r="A24" s="36" t="s">
        <v>91</v>
      </c>
      <c r="B24" s="74"/>
      <c r="C24" s="156" t="s">
        <v>92</v>
      </c>
      <c r="D24" s="156"/>
      <c r="E24" s="156"/>
      <c r="F24" s="156"/>
      <c r="G24" s="156"/>
      <c r="H24" s="156"/>
      <c r="I24" s="156"/>
      <c r="J24" s="156"/>
      <c r="K24" s="156"/>
    </row>
    <row r="25" spans="1:11" ht="20.25" customHeight="1" x14ac:dyDescent="0.25">
      <c r="A25" s="36" t="s">
        <v>93</v>
      </c>
      <c r="B25" s="33"/>
      <c r="C25" s="156" t="s">
        <v>90</v>
      </c>
      <c r="D25" s="156"/>
      <c r="E25" s="156"/>
      <c r="F25" s="156"/>
      <c r="G25" s="156"/>
      <c r="H25" s="156"/>
      <c r="I25" s="156"/>
      <c r="J25" s="156"/>
      <c r="K25" s="156"/>
    </row>
    <row r="26" spans="1:11" ht="20.25" customHeight="1" x14ac:dyDescent="0.25">
      <c r="A26" s="36" t="s">
        <v>94</v>
      </c>
      <c r="B26" s="74"/>
      <c r="C26" s="156" t="s">
        <v>92</v>
      </c>
      <c r="D26" s="156"/>
      <c r="E26" s="156"/>
      <c r="F26" s="156"/>
      <c r="G26" s="156"/>
      <c r="H26" s="156"/>
      <c r="I26" s="156"/>
      <c r="J26" s="156"/>
      <c r="K26" s="156"/>
    </row>
    <row r="27" spans="1:11" ht="20.25" customHeight="1" x14ac:dyDescent="0.25">
      <c r="B27" s="165"/>
      <c r="C27" s="165"/>
      <c r="D27" s="165"/>
      <c r="E27" s="165"/>
      <c r="F27" s="165"/>
      <c r="G27" s="165"/>
      <c r="H27" s="165"/>
      <c r="I27" s="165"/>
      <c r="J27" s="165"/>
    </row>
    <row r="28" spans="1:11" s="26" customFormat="1" ht="56.25" x14ac:dyDescent="0.3">
      <c r="A28" s="25" t="s">
        <v>49</v>
      </c>
      <c r="B28" s="25" t="s">
        <v>95</v>
      </c>
      <c r="C28" s="25" t="s">
        <v>96</v>
      </c>
      <c r="D28" s="25" t="s">
        <v>97</v>
      </c>
      <c r="E28" s="25" t="s">
        <v>98</v>
      </c>
      <c r="F28" s="25" t="s">
        <v>99</v>
      </c>
      <c r="G28" s="25" t="s">
        <v>100</v>
      </c>
      <c r="H28" s="25" t="s">
        <v>101</v>
      </c>
      <c r="I28" s="25" t="s">
        <v>102</v>
      </c>
      <c r="J28" s="25" t="s">
        <v>103</v>
      </c>
      <c r="K28" s="25" t="s">
        <v>51</v>
      </c>
    </row>
    <row r="29" spans="1:11" s="24" customFormat="1" ht="20.25" customHeight="1" x14ac:dyDescent="0.25">
      <c r="A29" s="28" t="s">
        <v>104</v>
      </c>
      <c r="B29" s="27"/>
      <c r="C29" s="27"/>
      <c r="D29" s="27"/>
      <c r="E29" s="27"/>
      <c r="F29" s="27"/>
      <c r="G29" s="27"/>
      <c r="H29" s="27"/>
      <c r="I29" s="27"/>
      <c r="J29" s="27"/>
      <c r="K29" s="27"/>
    </row>
    <row r="30" spans="1:11" ht="20.25" customHeight="1" x14ac:dyDescent="0.25">
      <c r="A30" s="36" t="s">
        <v>105</v>
      </c>
      <c r="B30" s="35"/>
      <c r="C30" s="30"/>
      <c r="D30" s="30"/>
      <c r="E30" s="30"/>
      <c r="F30" s="30"/>
      <c r="G30" s="30"/>
      <c r="H30" s="30"/>
      <c r="I30" s="30"/>
      <c r="J30" s="30"/>
      <c r="K30" s="160" t="s">
        <v>106</v>
      </c>
    </row>
    <row r="31" spans="1:11" ht="20.25" customHeight="1" x14ac:dyDescent="0.25">
      <c r="A31" s="38" t="s">
        <v>107</v>
      </c>
      <c r="B31" s="35"/>
      <c r="C31" s="30"/>
      <c r="D31" s="30"/>
      <c r="E31" s="30"/>
      <c r="F31" s="30"/>
      <c r="G31" s="30"/>
      <c r="H31" s="30"/>
      <c r="I31" s="30"/>
      <c r="J31" s="30"/>
      <c r="K31" s="161"/>
    </row>
    <row r="32" spans="1:11" ht="20.25" customHeight="1" x14ac:dyDescent="0.25">
      <c r="A32" s="36" t="s">
        <v>108</v>
      </c>
      <c r="B32" s="35"/>
      <c r="C32" s="30"/>
      <c r="D32" s="30"/>
      <c r="E32" s="30"/>
      <c r="F32" s="30"/>
      <c r="G32" s="30"/>
      <c r="H32" s="30"/>
      <c r="I32" s="30"/>
      <c r="J32" s="30"/>
      <c r="K32" s="161"/>
    </row>
    <row r="33" spans="1:11" ht="20.25" customHeight="1" x14ac:dyDescent="0.25">
      <c r="A33" s="78" t="s">
        <v>109</v>
      </c>
      <c r="B33" s="35"/>
      <c r="C33" s="30"/>
      <c r="D33" s="30"/>
      <c r="E33" s="30"/>
      <c r="F33" s="30"/>
      <c r="G33" s="30"/>
      <c r="H33" s="30"/>
      <c r="I33" s="30"/>
      <c r="J33" s="30"/>
      <c r="K33" s="162"/>
    </row>
    <row r="34" spans="1:11" s="24" customFormat="1" ht="20.25" customHeight="1" x14ac:dyDescent="0.25">
      <c r="A34" s="79" t="s">
        <v>110</v>
      </c>
      <c r="B34" s="77"/>
      <c r="C34" s="44">
        <f>SUM(C30:C33)</f>
        <v>0</v>
      </c>
      <c r="D34" s="44">
        <f>SUM(D30:D33)</f>
        <v>0</v>
      </c>
      <c r="E34" s="44">
        <f t="shared" ref="E34" si="0">SUM(E30:E33)</f>
        <v>0</v>
      </c>
      <c r="F34" s="44">
        <f t="shared" ref="F34" si="1">SUM(F30:F33)</f>
        <v>0</v>
      </c>
      <c r="G34" s="44">
        <f t="shared" ref="G34" si="2">SUM(G30:G33)</f>
        <v>0</v>
      </c>
      <c r="H34" s="44">
        <f t="shared" ref="H34" si="3">SUM(H30:H33)</f>
        <v>0</v>
      </c>
      <c r="I34" s="44">
        <f t="shared" ref="I34" si="4">SUM(I30:I33)</f>
        <v>0</v>
      </c>
      <c r="J34" s="44">
        <f t="shared" ref="J34" si="5">SUM(J30:J33)</f>
        <v>0</v>
      </c>
      <c r="K34" s="29"/>
    </row>
    <row r="35" spans="1:11" s="24" customFormat="1" ht="20.25" customHeight="1" x14ac:dyDescent="0.25">
      <c r="A35" s="79" t="s">
        <v>111</v>
      </c>
      <c r="B35" s="77"/>
      <c r="C35" s="44">
        <f>(SUM((ROUNDUP(C30/14,0)),(ROUNDUP(C31/14,0)),(ROUNDUP(C32/14,0)),(ROUNDUP(C33/14,0))))</f>
        <v>0</v>
      </c>
      <c r="D35" s="44">
        <f t="shared" ref="D35:J35" si="6">(SUM((ROUNDUP(D30/14,0)),(ROUNDUP(D31/14,0)),(ROUNDUP(D32/14,0)),(ROUNDUP(D33/14,0))))</f>
        <v>0</v>
      </c>
      <c r="E35" s="44">
        <f t="shared" si="6"/>
        <v>0</v>
      </c>
      <c r="F35" s="44">
        <f t="shared" si="6"/>
        <v>0</v>
      </c>
      <c r="G35" s="44">
        <f t="shared" si="6"/>
        <v>0</v>
      </c>
      <c r="H35" s="44">
        <f t="shared" si="6"/>
        <v>0</v>
      </c>
      <c r="I35" s="44">
        <f t="shared" si="6"/>
        <v>0</v>
      </c>
      <c r="J35" s="44">
        <f t="shared" si="6"/>
        <v>0</v>
      </c>
      <c r="K35" s="29"/>
    </row>
    <row r="36" spans="1:11" ht="20.25" customHeight="1" x14ac:dyDescent="0.25">
      <c r="A36" s="37" t="s">
        <v>112</v>
      </c>
      <c r="B36" s="30"/>
      <c r="C36" s="30"/>
      <c r="D36" s="30"/>
      <c r="E36" s="30"/>
      <c r="F36" s="30"/>
      <c r="G36" s="30"/>
      <c r="H36" s="30"/>
      <c r="I36" s="30"/>
      <c r="J36" s="30"/>
      <c r="K36" s="143" t="s">
        <v>113</v>
      </c>
    </row>
    <row r="37" spans="1:11" ht="20.25" customHeight="1" x14ac:dyDescent="0.25">
      <c r="A37" s="38" t="s">
        <v>114</v>
      </c>
      <c r="B37" s="30"/>
      <c r="C37" s="30"/>
      <c r="D37" s="30"/>
      <c r="E37" s="30"/>
      <c r="F37" s="30"/>
      <c r="G37" s="30"/>
      <c r="H37" s="30"/>
      <c r="I37" s="30"/>
      <c r="J37" s="30"/>
      <c r="K37" s="143" t="s">
        <v>115</v>
      </c>
    </row>
    <row r="38" spans="1:11" ht="20.25" customHeight="1" x14ac:dyDescent="0.25">
      <c r="A38" s="36" t="s">
        <v>116</v>
      </c>
      <c r="B38" s="30"/>
      <c r="C38" s="30"/>
      <c r="D38" s="30"/>
      <c r="E38" s="30"/>
      <c r="F38" s="30"/>
      <c r="G38" s="30"/>
      <c r="H38" s="30"/>
      <c r="I38" s="30"/>
      <c r="J38" s="30"/>
      <c r="K38" s="143" t="s">
        <v>117</v>
      </c>
    </row>
    <row r="39" spans="1:11" ht="20.25" customHeight="1" x14ac:dyDescent="0.25">
      <c r="A39" s="36" t="s">
        <v>118</v>
      </c>
      <c r="B39" s="80"/>
      <c r="C39" s="81">
        <f>$B$5*$B$7*(SUM((ROUNDUP(C30/14,0)),(ROUNDUP(C31/14,0)),(ROUNDUP(C32/14,0)),(ROUNDUP(C33/14,0))))</f>
        <v>0</v>
      </c>
      <c r="D39" s="81">
        <f t="shared" ref="D39:J39" si="7">$B$5*$B$7*(SUM((ROUNDUP(D30/14,0)),(ROUNDUP(D31/14,0)),(ROUNDUP(D32/14,0)),(ROUNDUP(D33/14,0))))</f>
        <v>0</v>
      </c>
      <c r="E39" s="81">
        <f t="shared" si="7"/>
        <v>0</v>
      </c>
      <c r="F39" s="81">
        <f t="shared" si="7"/>
        <v>0</v>
      </c>
      <c r="G39" s="81">
        <f t="shared" si="7"/>
        <v>0</v>
      </c>
      <c r="H39" s="81">
        <f t="shared" si="7"/>
        <v>0</v>
      </c>
      <c r="I39" s="81">
        <f t="shared" si="7"/>
        <v>0</v>
      </c>
      <c r="J39" s="81">
        <f t="shared" si="7"/>
        <v>0</v>
      </c>
      <c r="K39" s="143" t="s">
        <v>119</v>
      </c>
    </row>
    <row r="40" spans="1:11" s="24" customFormat="1" ht="20.25" customHeight="1" x14ac:dyDescent="0.25">
      <c r="A40" s="79" t="s">
        <v>120</v>
      </c>
      <c r="B40" s="83">
        <f>B36+B37+B38+(B39/1820.04)</f>
        <v>0</v>
      </c>
      <c r="C40" s="83">
        <f t="shared" ref="C40:J40" si="8">C36+C37+C38+(C39/1820.04)</f>
        <v>0</v>
      </c>
      <c r="D40" s="83">
        <f t="shared" si="8"/>
        <v>0</v>
      </c>
      <c r="E40" s="83">
        <f t="shared" si="8"/>
        <v>0</v>
      </c>
      <c r="F40" s="83">
        <f t="shared" si="8"/>
        <v>0</v>
      </c>
      <c r="G40" s="83">
        <f t="shared" si="8"/>
        <v>0</v>
      </c>
      <c r="H40" s="83">
        <f t="shared" si="8"/>
        <v>0</v>
      </c>
      <c r="I40" s="83">
        <f t="shared" si="8"/>
        <v>0</v>
      </c>
      <c r="J40" s="83">
        <f t="shared" si="8"/>
        <v>0</v>
      </c>
      <c r="K40" s="29"/>
    </row>
  </sheetData>
  <sheetProtection sheet="1" objects="1" scenarios="1" selectLockedCells="1"/>
  <mergeCells count="28">
    <mergeCell ref="K30:K33"/>
    <mergeCell ref="C2:K2"/>
    <mergeCell ref="C8:K8"/>
    <mergeCell ref="C9:K9"/>
    <mergeCell ref="B27:J27"/>
    <mergeCell ref="C21:K21"/>
    <mergeCell ref="C22:K22"/>
    <mergeCell ref="C13:K13"/>
    <mergeCell ref="C14:K14"/>
    <mergeCell ref="C15:K15"/>
    <mergeCell ref="C16:K16"/>
    <mergeCell ref="C17:K17"/>
    <mergeCell ref="C20:K20"/>
    <mergeCell ref="C19:K19"/>
    <mergeCell ref="C18:K18"/>
    <mergeCell ref="C24:K24"/>
    <mergeCell ref="C23:K23"/>
    <mergeCell ref="C25:K25"/>
    <mergeCell ref="C26:K26"/>
    <mergeCell ref="C10:K10"/>
    <mergeCell ref="C11:K11"/>
    <mergeCell ref="C12:K12"/>
    <mergeCell ref="C4:K4"/>
    <mergeCell ref="C5:K5"/>
    <mergeCell ref="C6:K6"/>
    <mergeCell ref="C7:K7"/>
    <mergeCell ref="A1:J1"/>
    <mergeCell ref="C3:J3"/>
  </mergeCells>
  <phoneticPr fontId="2" type="noConversion"/>
  <dataValidations count="3">
    <dataValidation type="date" errorStyle="warning" allowBlank="1" showInputMessage="1" showErrorMessage="1" errorTitle="Attention" error="Merci de saisir une date." sqref="B4" xr:uid="{E7EF31A4-8E04-429E-B08E-DE5236086165}">
      <formula1>36526</formula1>
      <formula2>73051</formula2>
    </dataValidation>
    <dataValidation type="decimal" errorStyle="warning" allowBlank="1" showInputMessage="1" showErrorMessage="1" errorTitle="Attention" error="Merci de saisir un pourcentage" sqref="B26 B24 B18:B19 B13" xr:uid="{D4347675-5E37-4547-803C-DF9F453C6729}">
      <formula1>-100</formula1>
      <formula2>100</formula2>
    </dataValidation>
    <dataValidation type="decimal" errorStyle="warning" allowBlank="1" showInputMessage="1" showErrorMessage="1" errorTitle="Attention" error="Merci de saisir des chiffres." sqref="B5:B7 B9:B12 B14:B17 B20:B23 B25 B36:J38 D30:J33 C31:C33 C30" xr:uid="{AF8C8464-6963-4300-92AC-82F0A7EB10B4}">
      <formula1>-99999999999999</formula1>
      <formula2>99999999999999</formula2>
    </dataValidation>
  </dataValidations>
  <printOptions horizontalCentered="1"/>
  <pageMargins left="0.3" right="0.3" top="0.5" bottom="0.5" header="0.31496062992125984" footer="0.31496062992125984"/>
  <pageSetup paperSize="9" scale="5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ECC97-41F4-4582-BE65-4F00209DA238}">
  <sheetPr codeName="Investissements">
    <tabColor rgb="FFB7D8F2"/>
    <pageSetUpPr fitToPage="1"/>
  </sheetPr>
  <dimension ref="A1:K56"/>
  <sheetViews>
    <sheetView showGridLines="0" zoomScaleNormal="100" workbookViewId="0">
      <pane xSplit="1" topLeftCell="B1" activePane="topRight" state="frozen"/>
      <selection sqref="A1:C1"/>
      <selection pane="topRight" activeCell="B10" sqref="B10"/>
    </sheetView>
  </sheetViews>
  <sheetFormatPr baseColWidth="10" defaultColWidth="115.5703125" defaultRowHeight="15" x14ac:dyDescent="0.25"/>
  <cols>
    <col min="1" max="1" width="67.5703125" style="4" bestFit="1" customWidth="1"/>
    <col min="2" max="2" width="15.42578125" style="4" customWidth="1"/>
    <col min="3" max="10" width="11.7109375" style="4" customWidth="1"/>
    <col min="11" max="11" width="82.140625" style="4" bestFit="1" customWidth="1"/>
    <col min="12" max="16384" width="115.5703125" style="4"/>
  </cols>
  <sheetData>
    <row r="1" spans="1:11" ht="57" customHeight="1" thickBot="1" x14ac:dyDescent="0.3">
      <c r="A1" s="171" t="s">
        <v>121</v>
      </c>
      <c r="B1" s="172"/>
      <c r="C1" s="172"/>
      <c r="D1" s="172"/>
      <c r="E1" s="172"/>
      <c r="F1" s="172"/>
      <c r="G1" s="172"/>
      <c r="H1" s="172"/>
      <c r="I1" s="172"/>
      <c r="J1" s="172"/>
    </row>
    <row r="2" spans="1:11" ht="20.25" customHeight="1" x14ac:dyDescent="0.25"/>
    <row r="3" spans="1:11" ht="20.25" customHeight="1" x14ac:dyDescent="0.35">
      <c r="A3" s="173" t="s">
        <v>122</v>
      </c>
      <c r="B3" s="174"/>
      <c r="C3" s="174"/>
      <c r="D3" s="174"/>
      <c r="E3" s="174"/>
      <c r="F3" s="174"/>
      <c r="G3" s="174"/>
      <c r="H3" s="174"/>
      <c r="I3" s="174"/>
      <c r="J3" s="174"/>
    </row>
    <row r="4" spans="1:11" ht="20.25" customHeight="1" x14ac:dyDescent="0.25">
      <c r="A4" s="14"/>
      <c r="B4" s="14"/>
      <c r="C4" s="14"/>
      <c r="D4" s="14"/>
      <c r="E4" s="14"/>
      <c r="F4" s="14"/>
      <c r="G4" s="14"/>
      <c r="H4" s="14"/>
      <c r="I4" s="14"/>
      <c r="J4" s="14"/>
    </row>
    <row r="5" spans="1:11" ht="20.25" customHeight="1" x14ac:dyDescent="0.25">
      <c r="A5" s="14"/>
      <c r="B5" s="14"/>
      <c r="C5" s="14"/>
      <c r="D5" s="14"/>
      <c r="E5" s="14"/>
      <c r="F5" s="14"/>
      <c r="G5" s="14"/>
      <c r="H5" s="14"/>
      <c r="I5" s="14"/>
      <c r="J5" s="14"/>
    </row>
    <row r="6" spans="1:11" ht="20.25" customHeight="1" x14ac:dyDescent="0.25">
      <c r="A6" s="170" t="s">
        <v>123</v>
      </c>
      <c r="B6" s="170" t="s">
        <v>335</v>
      </c>
      <c r="C6" s="170"/>
      <c r="D6" s="170"/>
      <c r="E6" s="170"/>
      <c r="F6" s="170"/>
      <c r="G6" s="170"/>
      <c r="H6" s="170"/>
      <c r="I6" s="170"/>
      <c r="J6" s="170"/>
      <c r="K6" s="170" t="s">
        <v>124</v>
      </c>
    </row>
    <row r="7" spans="1:11" ht="56.25" customHeight="1" x14ac:dyDescent="0.25">
      <c r="A7" s="170"/>
      <c r="B7" s="25" t="s">
        <v>125</v>
      </c>
      <c r="C7" s="25" t="s">
        <v>96</v>
      </c>
      <c r="D7" s="25" t="s">
        <v>97</v>
      </c>
      <c r="E7" s="25" t="s">
        <v>98</v>
      </c>
      <c r="F7" s="25" t="s">
        <v>99</v>
      </c>
      <c r="G7" s="25" t="s">
        <v>100</v>
      </c>
      <c r="H7" s="25" t="s">
        <v>101</v>
      </c>
      <c r="I7" s="25" t="s">
        <v>102</v>
      </c>
      <c r="J7" s="25" t="s">
        <v>103</v>
      </c>
      <c r="K7" s="170"/>
    </row>
    <row r="8" spans="1:11" ht="20.25" customHeight="1" x14ac:dyDescent="0.25">
      <c r="A8" s="7"/>
      <c r="B8" s="7"/>
      <c r="C8" s="7"/>
      <c r="D8" s="7"/>
      <c r="E8" s="7"/>
      <c r="F8" s="7"/>
      <c r="G8" s="7"/>
      <c r="H8" s="7"/>
      <c r="I8" s="7"/>
      <c r="J8" s="7"/>
      <c r="K8" s="7"/>
    </row>
    <row r="9" spans="1:11" ht="20.25" customHeight="1" x14ac:dyDescent="0.25">
      <c r="A9" s="28" t="s">
        <v>126</v>
      </c>
      <c r="B9" s="111">
        <f>SUM(B10:B14)</f>
        <v>0</v>
      </c>
      <c r="C9" s="111">
        <f>SUM(C10:C14)</f>
        <v>0</v>
      </c>
      <c r="D9" s="111">
        <f t="shared" ref="D9:J9" si="0">SUM(D10:D14)</f>
        <v>0</v>
      </c>
      <c r="E9" s="111">
        <f t="shared" si="0"/>
        <v>0</v>
      </c>
      <c r="F9" s="111">
        <f t="shared" si="0"/>
        <v>0</v>
      </c>
      <c r="G9" s="111">
        <f t="shared" si="0"/>
        <v>0</v>
      </c>
      <c r="H9" s="111">
        <f t="shared" si="0"/>
        <v>0</v>
      </c>
      <c r="I9" s="111">
        <f t="shared" si="0"/>
        <v>0</v>
      </c>
      <c r="J9" s="111">
        <f t="shared" si="0"/>
        <v>0</v>
      </c>
      <c r="K9" s="99"/>
    </row>
    <row r="10" spans="1:11" ht="20.25" customHeight="1" x14ac:dyDescent="0.25">
      <c r="A10" s="40" t="s">
        <v>127</v>
      </c>
      <c r="B10" s="130"/>
      <c r="C10" s="130"/>
      <c r="D10" s="130"/>
      <c r="E10" s="130"/>
      <c r="F10" s="130"/>
      <c r="G10" s="130"/>
      <c r="H10" s="130"/>
      <c r="I10" s="130"/>
      <c r="J10" s="130"/>
      <c r="K10" s="99" t="s">
        <v>128</v>
      </c>
    </row>
    <row r="11" spans="1:11" ht="20.25" customHeight="1" x14ac:dyDescent="0.25">
      <c r="A11" s="40" t="s">
        <v>129</v>
      </c>
      <c r="B11" s="130"/>
      <c r="C11" s="130"/>
      <c r="D11" s="130"/>
      <c r="E11" s="130"/>
      <c r="F11" s="130"/>
      <c r="G11" s="130"/>
      <c r="H11" s="130"/>
      <c r="I11" s="130"/>
      <c r="J11" s="130"/>
      <c r="K11" s="99" t="s">
        <v>130</v>
      </c>
    </row>
    <row r="12" spans="1:11" ht="20.25" customHeight="1" x14ac:dyDescent="0.25">
      <c r="A12" s="40" t="s">
        <v>131</v>
      </c>
      <c r="B12" s="130"/>
      <c r="C12" s="130"/>
      <c r="D12" s="130"/>
      <c r="E12" s="130"/>
      <c r="F12" s="130"/>
      <c r="G12" s="130"/>
      <c r="H12" s="130"/>
      <c r="I12" s="130"/>
      <c r="J12" s="130"/>
      <c r="K12" s="99" t="s">
        <v>132</v>
      </c>
    </row>
    <row r="13" spans="1:11" ht="20.25" customHeight="1" x14ac:dyDescent="0.25">
      <c r="A13" s="40" t="s">
        <v>133</v>
      </c>
      <c r="B13" s="130"/>
      <c r="C13" s="130"/>
      <c r="D13" s="130"/>
      <c r="E13" s="130"/>
      <c r="F13" s="130"/>
      <c r="G13" s="130"/>
      <c r="H13" s="130"/>
      <c r="I13" s="130"/>
      <c r="J13" s="130"/>
      <c r="K13" s="99" t="s">
        <v>134</v>
      </c>
    </row>
    <row r="14" spans="1:11" ht="20.25" customHeight="1" x14ac:dyDescent="0.25">
      <c r="A14" s="40" t="s">
        <v>135</v>
      </c>
      <c r="B14" s="130"/>
      <c r="C14" s="130"/>
      <c r="D14" s="130"/>
      <c r="E14" s="130"/>
      <c r="F14" s="130"/>
      <c r="G14" s="130"/>
      <c r="H14" s="130"/>
      <c r="I14" s="130"/>
      <c r="J14" s="130"/>
      <c r="K14" s="99" t="s">
        <v>136</v>
      </c>
    </row>
    <row r="15" spans="1:11" ht="20.25" customHeight="1" x14ac:dyDescent="0.25">
      <c r="A15" s="15"/>
      <c r="B15" s="75" t="s">
        <v>137</v>
      </c>
      <c r="C15" s="75" t="s">
        <v>96</v>
      </c>
      <c r="D15" s="75" t="s">
        <v>97</v>
      </c>
      <c r="E15" s="75" t="s">
        <v>98</v>
      </c>
      <c r="F15" s="75" t="s">
        <v>99</v>
      </c>
      <c r="G15" s="75" t="s">
        <v>100</v>
      </c>
      <c r="H15" s="75" t="s">
        <v>101</v>
      </c>
      <c r="I15" s="75" t="s">
        <v>102</v>
      </c>
      <c r="J15" s="75" t="s">
        <v>103</v>
      </c>
      <c r="K15" s="75"/>
    </row>
    <row r="16" spans="1:11" ht="20.25" customHeight="1" x14ac:dyDescent="0.25">
      <c r="A16" s="28" t="s">
        <v>138</v>
      </c>
      <c r="B16" s="111">
        <f>B17+B23+B28</f>
        <v>0</v>
      </c>
      <c r="C16" s="111">
        <f>C17+C23+C28</f>
        <v>0</v>
      </c>
      <c r="D16" s="111">
        <f t="shared" ref="D16:J16" si="1">D17+D23+D28</f>
        <v>0</v>
      </c>
      <c r="E16" s="111">
        <f t="shared" si="1"/>
        <v>0</v>
      </c>
      <c r="F16" s="111">
        <f t="shared" si="1"/>
        <v>0</v>
      </c>
      <c r="G16" s="111">
        <f t="shared" si="1"/>
        <v>0</v>
      </c>
      <c r="H16" s="111">
        <f t="shared" si="1"/>
        <v>0</v>
      </c>
      <c r="I16" s="111">
        <f t="shared" si="1"/>
        <v>0</v>
      </c>
      <c r="J16" s="111">
        <f t="shared" si="1"/>
        <v>0</v>
      </c>
      <c r="K16" s="99"/>
    </row>
    <row r="17" spans="1:11" ht="20.25" customHeight="1" x14ac:dyDescent="0.25">
      <c r="A17" s="41" t="s">
        <v>139</v>
      </c>
      <c r="B17" s="131">
        <f>SUM(B18:B21)</f>
        <v>0</v>
      </c>
      <c r="C17" s="131">
        <f>SUM(C18:C21)</f>
        <v>0</v>
      </c>
      <c r="D17" s="131">
        <f t="shared" ref="D17:J17" si="2">SUM(D18:D21)</f>
        <v>0</v>
      </c>
      <c r="E17" s="131">
        <f t="shared" si="2"/>
        <v>0</v>
      </c>
      <c r="F17" s="131">
        <f t="shared" si="2"/>
        <v>0</v>
      </c>
      <c r="G17" s="131">
        <f t="shared" si="2"/>
        <v>0</v>
      </c>
      <c r="H17" s="131">
        <f t="shared" si="2"/>
        <v>0</v>
      </c>
      <c r="I17" s="131">
        <f t="shared" si="2"/>
        <v>0</v>
      </c>
      <c r="J17" s="131">
        <f t="shared" si="2"/>
        <v>0</v>
      </c>
      <c r="K17" s="99"/>
    </row>
    <row r="18" spans="1:11" ht="20.25" customHeight="1" x14ac:dyDescent="0.25">
      <c r="A18" s="40" t="s">
        <v>140</v>
      </c>
      <c r="B18" s="130"/>
      <c r="C18" s="130"/>
      <c r="D18" s="130"/>
      <c r="E18" s="130"/>
      <c r="F18" s="130"/>
      <c r="G18" s="130"/>
      <c r="H18" s="130"/>
      <c r="I18" s="130"/>
      <c r="J18" s="130"/>
      <c r="K18" s="99" t="s">
        <v>141</v>
      </c>
    </row>
    <row r="19" spans="1:11" ht="20.25" customHeight="1" x14ac:dyDescent="0.25">
      <c r="A19" s="40" t="s">
        <v>142</v>
      </c>
      <c r="B19" s="130"/>
      <c r="C19" s="130"/>
      <c r="D19" s="130"/>
      <c r="E19" s="130"/>
      <c r="F19" s="130"/>
      <c r="G19" s="130"/>
      <c r="H19" s="130"/>
      <c r="I19" s="130"/>
      <c r="J19" s="130"/>
      <c r="K19" s="99" t="s">
        <v>143</v>
      </c>
    </row>
    <row r="20" spans="1:11" ht="20.25" customHeight="1" x14ac:dyDescent="0.25">
      <c r="A20" s="40" t="s">
        <v>144</v>
      </c>
      <c r="B20" s="130"/>
      <c r="C20" s="130"/>
      <c r="D20" s="130"/>
      <c r="E20" s="130"/>
      <c r="F20" s="130"/>
      <c r="G20" s="130"/>
      <c r="H20" s="130"/>
      <c r="I20" s="130"/>
      <c r="J20" s="130"/>
      <c r="K20" s="99" t="s">
        <v>145</v>
      </c>
    </row>
    <row r="21" spans="1:11" ht="20.25" customHeight="1" x14ac:dyDescent="0.25">
      <c r="A21" s="40" t="s">
        <v>146</v>
      </c>
      <c r="B21" s="130"/>
      <c r="C21" s="130"/>
      <c r="D21" s="130"/>
      <c r="E21" s="130"/>
      <c r="F21" s="130"/>
      <c r="G21" s="130"/>
      <c r="H21" s="130"/>
      <c r="I21" s="130"/>
      <c r="J21" s="130"/>
      <c r="K21" s="99" t="s">
        <v>147</v>
      </c>
    </row>
    <row r="22" spans="1:11" ht="20.25" customHeight="1" x14ac:dyDescent="0.25">
      <c r="A22" s="15"/>
      <c r="B22" s="15"/>
      <c r="C22" s="15"/>
      <c r="D22" s="15"/>
      <c r="E22" s="15"/>
      <c r="F22" s="15"/>
      <c r="G22" s="15"/>
      <c r="H22" s="15"/>
      <c r="I22" s="15"/>
      <c r="J22" s="15"/>
      <c r="K22" s="12"/>
    </row>
    <row r="23" spans="1:11" ht="20.25" customHeight="1" x14ac:dyDescent="0.25">
      <c r="A23" s="41" t="s">
        <v>148</v>
      </c>
      <c r="B23" s="131">
        <f>SUM(B24:B26)</f>
        <v>0</v>
      </c>
      <c r="C23" s="131">
        <f>SUM(C24:C26)</f>
        <v>0</v>
      </c>
      <c r="D23" s="131">
        <f t="shared" ref="D23:J23" si="3">SUM(D24:D26)</f>
        <v>0</v>
      </c>
      <c r="E23" s="131">
        <f t="shared" si="3"/>
        <v>0</v>
      </c>
      <c r="F23" s="131">
        <f t="shared" si="3"/>
        <v>0</v>
      </c>
      <c r="G23" s="131">
        <f t="shared" si="3"/>
        <v>0</v>
      </c>
      <c r="H23" s="131">
        <f t="shared" si="3"/>
        <v>0</v>
      </c>
      <c r="I23" s="131">
        <f t="shared" si="3"/>
        <v>0</v>
      </c>
      <c r="J23" s="131">
        <f t="shared" si="3"/>
        <v>0</v>
      </c>
      <c r="K23" s="99"/>
    </row>
    <row r="24" spans="1:11" ht="20.25" customHeight="1" x14ac:dyDescent="0.25">
      <c r="A24" s="40" t="s">
        <v>149</v>
      </c>
      <c r="B24" s="130"/>
      <c r="C24" s="130"/>
      <c r="D24" s="130"/>
      <c r="E24" s="130"/>
      <c r="F24" s="130"/>
      <c r="G24" s="130"/>
      <c r="H24" s="130"/>
      <c r="I24" s="130"/>
      <c r="J24" s="130"/>
      <c r="K24" s="99" t="s">
        <v>150</v>
      </c>
    </row>
    <row r="25" spans="1:11" ht="20.25" customHeight="1" x14ac:dyDescent="0.25">
      <c r="A25" s="40" t="s">
        <v>151</v>
      </c>
      <c r="B25" s="130"/>
      <c r="C25" s="130"/>
      <c r="D25" s="130"/>
      <c r="E25" s="130"/>
      <c r="F25" s="130"/>
      <c r="G25" s="130"/>
      <c r="H25" s="130"/>
      <c r="I25" s="130"/>
      <c r="J25" s="130"/>
      <c r="K25" s="99" t="s">
        <v>152</v>
      </c>
    </row>
    <row r="26" spans="1:11" ht="20.25" customHeight="1" x14ac:dyDescent="0.25">
      <c r="A26" s="40" t="s">
        <v>153</v>
      </c>
      <c r="B26" s="130"/>
      <c r="C26" s="130"/>
      <c r="D26" s="130"/>
      <c r="E26" s="130"/>
      <c r="F26" s="130"/>
      <c r="G26" s="130"/>
      <c r="H26" s="130"/>
      <c r="I26" s="130"/>
      <c r="J26" s="130"/>
      <c r="K26" s="99" t="s">
        <v>154</v>
      </c>
    </row>
    <row r="27" spans="1:11" ht="20.25" customHeight="1" x14ac:dyDescent="0.25">
      <c r="A27" s="15"/>
      <c r="B27" s="15"/>
      <c r="C27" s="15"/>
      <c r="D27" s="15"/>
      <c r="E27" s="15"/>
      <c r="F27" s="15"/>
      <c r="G27" s="15"/>
      <c r="H27" s="15"/>
      <c r="I27" s="15"/>
      <c r="J27" s="15"/>
      <c r="K27" s="12"/>
    </row>
    <row r="28" spans="1:11" ht="20.25" customHeight="1" x14ac:dyDescent="0.25">
      <c r="A28" s="41" t="s">
        <v>155</v>
      </c>
      <c r="B28" s="131">
        <f>SUM(B29:B31)</f>
        <v>0</v>
      </c>
      <c r="C28" s="131">
        <f>SUM(C29:C31)</f>
        <v>0</v>
      </c>
      <c r="D28" s="131">
        <f t="shared" ref="D28:J28" si="4">SUM(D29:D31)</f>
        <v>0</v>
      </c>
      <c r="E28" s="131">
        <f t="shared" si="4"/>
        <v>0</v>
      </c>
      <c r="F28" s="131">
        <f t="shared" si="4"/>
        <v>0</v>
      </c>
      <c r="G28" s="131">
        <f t="shared" si="4"/>
        <v>0</v>
      </c>
      <c r="H28" s="131">
        <f t="shared" si="4"/>
        <v>0</v>
      </c>
      <c r="I28" s="131">
        <f t="shared" si="4"/>
        <v>0</v>
      </c>
      <c r="J28" s="131">
        <f t="shared" si="4"/>
        <v>0</v>
      </c>
      <c r="K28" s="99"/>
    </row>
    <row r="29" spans="1:11" ht="20.25" customHeight="1" x14ac:dyDescent="0.25">
      <c r="A29" s="40" t="s">
        <v>156</v>
      </c>
      <c r="B29" s="130"/>
      <c r="C29" s="130"/>
      <c r="D29" s="130"/>
      <c r="E29" s="130"/>
      <c r="F29" s="130"/>
      <c r="G29" s="130"/>
      <c r="H29" s="130"/>
      <c r="I29" s="130"/>
      <c r="J29" s="130"/>
      <c r="K29" s="99" t="s">
        <v>157</v>
      </c>
    </row>
    <row r="30" spans="1:11" ht="20.25" customHeight="1" x14ac:dyDescent="0.25">
      <c r="A30" s="40" t="s">
        <v>158</v>
      </c>
      <c r="B30" s="130"/>
      <c r="C30" s="130"/>
      <c r="D30" s="130"/>
      <c r="E30" s="130"/>
      <c r="F30" s="130"/>
      <c r="G30" s="130"/>
      <c r="H30" s="130"/>
      <c r="I30" s="130"/>
      <c r="J30" s="130"/>
      <c r="K30" s="99" t="s">
        <v>159</v>
      </c>
    </row>
    <row r="31" spans="1:11" ht="20.25" customHeight="1" x14ac:dyDescent="0.25">
      <c r="A31" s="40" t="s">
        <v>160</v>
      </c>
      <c r="B31" s="130"/>
      <c r="C31" s="130"/>
      <c r="D31" s="130"/>
      <c r="E31" s="130"/>
      <c r="F31" s="130"/>
      <c r="G31" s="130"/>
      <c r="H31" s="130"/>
      <c r="I31" s="130"/>
      <c r="J31" s="130"/>
      <c r="K31" s="99" t="s">
        <v>161</v>
      </c>
    </row>
    <row r="32" spans="1:11" ht="20.25" customHeight="1" x14ac:dyDescent="0.25">
      <c r="A32" s="15"/>
      <c r="B32" s="75" t="s">
        <v>162</v>
      </c>
      <c r="C32" s="75" t="s">
        <v>96</v>
      </c>
      <c r="D32" s="75" t="s">
        <v>97</v>
      </c>
      <c r="E32" s="75" t="s">
        <v>98</v>
      </c>
      <c r="F32" s="75" t="s">
        <v>99</v>
      </c>
      <c r="G32" s="75" t="s">
        <v>100</v>
      </c>
      <c r="H32" s="75" t="s">
        <v>101</v>
      </c>
      <c r="I32" s="75" t="s">
        <v>102</v>
      </c>
      <c r="J32" s="75" t="s">
        <v>103</v>
      </c>
      <c r="K32" s="12"/>
    </row>
    <row r="33" spans="1:11" ht="20.25" customHeight="1" x14ac:dyDescent="0.25">
      <c r="A33" s="28" t="s">
        <v>163</v>
      </c>
      <c r="B33" s="111">
        <f>SUM(B34:B35)</f>
        <v>0</v>
      </c>
      <c r="C33" s="111">
        <f>SUM(C34:C35)</f>
        <v>0</v>
      </c>
      <c r="D33" s="111">
        <f t="shared" ref="D33:J33" si="5">SUM(D34:D35)</f>
        <v>0</v>
      </c>
      <c r="E33" s="111">
        <f t="shared" si="5"/>
        <v>0</v>
      </c>
      <c r="F33" s="111">
        <f t="shared" si="5"/>
        <v>0</v>
      </c>
      <c r="G33" s="111">
        <f t="shared" si="5"/>
        <v>0</v>
      </c>
      <c r="H33" s="111">
        <f t="shared" si="5"/>
        <v>0</v>
      </c>
      <c r="I33" s="111">
        <f t="shared" si="5"/>
        <v>0</v>
      </c>
      <c r="J33" s="111">
        <f t="shared" si="5"/>
        <v>0</v>
      </c>
      <c r="K33" s="99"/>
    </row>
    <row r="34" spans="1:11" ht="20.25" customHeight="1" x14ac:dyDescent="0.25">
      <c r="A34" s="40" t="s">
        <v>164</v>
      </c>
      <c r="B34" s="130"/>
      <c r="C34" s="130"/>
      <c r="D34" s="130"/>
      <c r="E34" s="130"/>
      <c r="F34" s="130"/>
      <c r="G34" s="130"/>
      <c r="H34" s="130"/>
      <c r="I34" s="130"/>
      <c r="J34" s="130"/>
      <c r="K34" s="99" t="s">
        <v>165</v>
      </c>
    </row>
    <row r="35" spans="1:11" ht="20.25" customHeight="1" x14ac:dyDescent="0.25">
      <c r="A35" s="40" t="s">
        <v>166</v>
      </c>
      <c r="B35" s="130"/>
      <c r="C35" s="130"/>
      <c r="D35" s="130"/>
      <c r="E35" s="130"/>
      <c r="F35" s="130"/>
      <c r="G35" s="130"/>
      <c r="H35" s="130"/>
      <c r="I35" s="130"/>
      <c r="J35" s="130"/>
      <c r="K35" s="99" t="s">
        <v>167</v>
      </c>
    </row>
    <row r="36" spans="1:11" ht="20.25" customHeight="1" x14ac:dyDescent="0.25">
      <c r="A36" s="15"/>
      <c r="B36" s="75" t="s">
        <v>162</v>
      </c>
      <c r="C36" s="75" t="s">
        <v>96</v>
      </c>
      <c r="D36" s="75" t="s">
        <v>97</v>
      </c>
      <c r="E36" s="75" t="s">
        <v>98</v>
      </c>
      <c r="F36" s="75" t="s">
        <v>99</v>
      </c>
      <c r="G36" s="75" t="s">
        <v>100</v>
      </c>
      <c r="H36" s="75" t="s">
        <v>101</v>
      </c>
      <c r="I36" s="75" t="s">
        <v>102</v>
      </c>
      <c r="J36" s="75" t="s">
        <v>103</v>
      </c>
      <c r="K36" s="12"/>
    </row>
    <row r="37" spans="1:11" ht="20.25" customHeight="1" x14ac:dyDescent="0.25">
      <c r="A37" s="28" t="s">
        <v>168</v>
      </c>
      <c r="B37" s="111">
        <f>SUM(B38:B40)</f>
        <v>0</v>
      </c>
      <c r="C37" s="111">
        <f>SUM(C38:C40)</f>
        <v>0</v>
      </c>
      <c r="D37" s="111">
        <f t="shared" ref="D37:J37" si="6">SUM(D38:D40)</f>
        <v>0</v>
      </c>
      <c r="E37" s="111">
        <f t="shared" si="6"/>
        <v>0</v>
      </c>
      <c r="F37" s="111">
        <f t="shared" si="6"/>
        <v>0</v>
      </c>
      <c r="G37" s="111">
        <f t="shared" si="6"/>
        <v>0</v>
      </c>
      <c r="H37" s="111">
        <f t="shared" si="6"/>
        <v>0</v>
      </c>
      <c r="I37" s="111">
        <f t="shared" si="6"/>
        <v>0</v>
      </c>
      <c r="J37" s="111">
        <f t="shared" si="6"/>
        <v>0</v>
      </c>
      <c r="K37" s="99"/>
    </row>
    <row r="38" spans="1:11" ht="20.25" customHeight="1" x14ac:dyDescent="0.25">
      <c r="A38" s="40" t="s">
        <v>169</v>
      </c>
      <c r="B38" s="130"/>
      <c r="C38" s="130"/>
      <c r="D38" s="130"/>
      <c r="E38" s="130"/>
      <c r="F38" s="130"/>
      <c r="G38" s="130"/>
      <c r="H38" s="130"/>
      <c r="I38" s="130"/>
      <c r="J38" s="130"/>
      <c r="K38" s="99" t="s">
        <v>170</v>
      </c>
    </row>
    <row r="39" spans="1:11" ht="20.25" customHeight="1" x14ac:dyDescent="0.25">
      <c r="A39" s="40" t="s">
        <v>171</v>
      </c>
      <c r="B39" s="130"/>
      <c r="C39" s="130"/>
      <c r="D39" s="130"/>
      <c r="E39" s="130"/>
      <c r="F39" s="130"/>
      <c r="G39" s="130"/>
      <c r="H39" s="130"/>
      <c r="I39" s="130"/>
      <c r="J39" s="130"/>
      <c r="K39" s="99" t="s">
        <v>172</v>
      </c>
    </row>
    <row r="40" spans="1:11" ht="20.25" customHeight="1" x14ac:dyDescent="0.25">
      <c r="A40" s="40" t="s">
        <v>173</v>
      </c>
      <c r="B40" s="130"/>
      <c r="C40" s="130"/>
      <c r="D40" s="130"/>
      <c r="E40" s="130"/>
      <c r="F40" s="130"/>
      <c r="G40" s="130"/>
      <c r="H40" s="130"/>
      <c r="I40" s="130"/>
      <c r="J40" s="130"/>
      <c r="K40" s="99" t="s">
        <v>174</v>
      </c>
    </row>
    <row r="41" spans="1:11" ht="20.25" customHeight="1" x14ac:dyDescent="0.25">
      <c r="A41" s="15"/>
      <c r="B41" s="132"/>
      <c r="C41" s="132"/>
      <c r="D41" s="132"/>
      <c r="E41" s="132"/>
      <c r="F41" s="132"/>
      <c r="G41" s="132"/>
      <c r="H41" s="132"/>
      <c r="I41" s="132"/>
      <c r="J41" s="132"/>
      <c r="K41" s="12"/>
    </row>
    <row r="42" spans="1:11" ht="20.25" customHeight="1" x14ac:dyDescent="0.25">
      <c r="A42" s="42" t="s">
        <v>175</v>
      </c>
      <c r="B42" s="133">
        <f>B9+B16+B33+B37</f>
        <v>0</v>
      </c>
      <c r="C42" s="133">
        <f>C9+C16+C33+C37</f>
        <v>0</v>
      </c>
      <c r="D42" s="133">
        <f t="shared" ref="D42:J42" si="7">D9+D16+D33+D37</f>
        <v>0</v>
      </c>
      <c r="E42" s="133">
        <f t="shared" si="7"/>
        <v>0</v>
      </c>
      <c r="F42" s="133">
        <f t="shared" si="7"/>
        <v>0</v>
      </c>
      <c r="G42" s="133">
        <f t="shared" si="7"/>
        <v>0</v>
      </c>
      <c r="H42" s="133">
        <f t="shared" si="7"/>
        <v>0</v>
      </c>
      <c r="I42" s="133">
        <f t="shared" si="7"/>
        <v>0</v>
      </c>
      <c r="J42" s="134">
        <f t="shared" si="7"/>
        <v>0</v>
      </c>
      <c r="K42" s="99"/>
    </row>
    <row r="43" spans="1:11" ht="20.25" customHeight="1" x14ac:dyDescent="0.25"/>
    <row r="44" spans="1:11" ht="20.25" customHeight="1" x14ac:dyDescent="0.25"/>
    <row r="45" spans="1:11" ht="20.25" customHeight="1" x14ac:dyDescent="0.35">
      <c r="A45" s="173" t="s">
        <v>176</v>
      </c>
      <c r="B45" s="174"/>
      <c r="C45" s="174"/>
      <c r="D45" s="174"/>
      <c r="E45" s="174"/>
      <c r="F45" s="174"/>
      <c r="G45" s="174"/>
      <c r="H45" s="174"/>
      <c r="I45" s="174"/>
      <c r="J45" s="174"/>
    </row>
    <row r="46" spans="1:11" ht="20.25" customHeight="1" x14ac:dyDescent="0.25">
      <c r="A46" s="5"/>
      <c r="B46" s="5"/>
      <c r="K46" s="5"/>
    </row>
    <row r="47" spans="1:11" ht="20.25" customHeight="1" x14ac:dyDescent="0.25">
      <c r="A47" s="169" t="s">
        <v>177</v>
      </c>
      <c r="B47" s="169"/>
      <c r="C47" s="169"/>
      <c r="D47" s="169"/>
      <c r="E47" s="169"/>
      <c r="F47" s="169"/>
      <c r="G47" s="169"/>
      <c r="H47" s="169"/>
      <c r="I47" s="169"/>
      <c r="J47" s="169"/>
      <c r="K47" s="16"/>
    </row>
    <row r="48" spans="1:11" ht="20.25" customHeight="1" x14ac:dyDescent="0.25">
      <c r="C48" s="7"/>
      <c r="D48" s="7"/>
      <c r="E48" s="7"/>
      <c r="F48" s="7"/>
      <c r="G48" s="7"/>
      <c r="H48" s="7"/>
      <c r="I48" s="7"/>
      <c r="J48" s="7"/>
    </row>
    <row r="49" spans="1:11" ht="57" customHeight="1" x14ac:dyDescent="0.25">
      <c r="A49" s="39" t="s">
        <v>178</v>
      </c>
      <c r="B49" s="25" t="s">
        <v>125</v>
      </c>
      <c r="C49" s="25" t="s">
        <v>96</v>
      </c>
      <c r="D49" s="25" t="s">
        <v>97</v>
      </c>
      <c r="E49" s="25" t="s">
        <v>98</v>
      </c>
      <c r="F49" s="25" t="s">
        <v>99</v>
      </c>
      <c r="G49" s="25" t="s">
        <v>100</v>
      </c>
      <c r="H49" s="25" t="s">
        <v>101</v>
      </c>
      <c r="I49" s="25" t="s">
        <v>102</v>
      </c>
      <c r="J49" s="25" t="s">
        <v>103</v>
      </c>
      <c r="K49" s="25" t="s">
        <v>179</v>
      </c>
    </row>
    <row r="50" spans="1:11" ht="20.25" customHeight="1" x14ac:dyDescent="0.25">
      <c r="B50" s="7"/>
      <c r="C50" s="7"/>
      <c r="D50" s="7"/>
      <c r="E50" s="7"/>
      <c r="F50" s="7"/>
      <c r="G50" s="7"/>
      <c r="H50" s="7"/>
      <c r="I50" s="7"/>
      <c r="J50" s="7"/>
    </row>
    <row r="51" spans="1:11" ht="20.25" customHeight="1" x14ac:dyDescent="0.25">
      <c r="A51" s="40" t="s">
        <v>180</v>
      </c>
      <c r="B51" s="135">
        <f>B42*0.5</f>
        <v>0</v>
      </c>
      <c r="C51" s="135">
        <f>C42*0.5</f>
        <v>0</v>
      </c>
      <c r="D51" s="135">
        <f t="shared" ref="D51:J51" si="8">D42*0.5</f>
        <v>0</v>
      </c>
      <c r="E51" s="135">
        <f t="shared" si="8"/>
        <v>0</v>
      </c>
      <c r="F51" s="135">
        <f t="shared" si="8"/>
        <v>0</v>
      </c>
      <c r="G51" s="135">
        <f t="shared" si="8"/>
        <v>0</v>
      </c>
      <c r="H51" s="135">
        <f t="shared" si="8"/>
        <v>0</v>
      </c>
      <c r="I51" s="135">
        <f t="shared" si="8"/>
        <v>0</v>
      </c>
      <c r="J51" s="135">
        <f t="shared" si="8"/>
        <v>0</v>
      </c>
      <c r="K51" s="99"/>
    </row>
    <row r="52" spans="1:11" ht="20.25" customHeight="1" x14ac:dyDescent="0.25">
      <c r="A52" s="40" t="s">
        <v>181</v>
      </c>
      <c r="B52" s="135">
        <f>B42*0.5</f>
        <v>0</v>
      </c>
      <c r="C52" s="135">
        <f>C42*0.5</f>
        <v>0</v>
      </c>
      <c r="D52" s="135">
        <f t="shared" ref="D52:J52" si="9">D42*0.5</f>
        <v>0</v>
      </c>
      <c r="E52" s="135">
        <f t="shared" si="9"/>
        <v>0</v>
      </c>
      <c r="F52" s="135">
        <f t="shared" si="9"/>
        <v>0</v>
      </c>
      <c r="G52" s="135">
        <f t="shared" si="9"/>
        <v>0</v>
      </c>
      <c r="H52" s="135">
        <f t="shared" si="9"/>
        <v>0</v>
      </c>
      <c r="I52" s="135">
        <f t="shared" si="9"/>
        <v>0</v>
      </c>
      <c r="J52" s="135">
        <f t="shared" si="9"/>
        <v>0</v>
      </c>
      <c r="K52" s="99"/>
    </row>
    <row r="53" spans="1:11" ht="20.25" customHeight="1" x14ac:dyDescent="0.25">
      <c r="A53" s="15"/>
      <c r="B53" s="132"/>
      <c r="C53" s="132"/>
      <c r="D53" s="132"/>
      <c r="E53" s="132"/>
      <c r="F53" s="132"/>
      <c r="G53" s="132"/>
      <c r="H53" s="132"/>
      <c r="I53" s="132"/>
      <c r="J53" s="132"/>
      <c r="K53" s="12"/>
    </row>
    <row r="54" spans="1:11" ht="20.25" customHeight="1" x14ac:dyDescent="0.25">
      <c r="A54" s="42" t="s">
        <v>182</v>
      </c>
      <c r="B54" s="136">
        <f>SUM(B51:B52)</f>
        <v>0</v>
      </c>
      <c r="C54" s="136">
        <f>SUM(C51:C52)</f>
        <v>0</v>
      </c>
      <c r="D54" s="136">
        <f t="shared" ref="D54:J54" si="10">SUM(D51:D52)</f>
        <v>0</v>
      </c>
      <c r="E54" s="136">
        <f t="shared" si="10"/>
        <v>0</v>
      </c>
      <c r="F54" s="136">
        <f t="shared" si="10"/>
        <v>0</v>
      </c>
      <c r="G54" s="136">
        <f t="shared" si="10"/>
        <v>0</v>
      </c>
      <c r="H54" s="136">
        <f t="shared" si="10"/>
        <v>0</v>
      </c>
      <c r="I54" s="136">
        <f t="shared" si="10"/>
        <v>0</v>
      </c>
      <c r="J54" s="137">
        <f t="shared" si="10"/>
        <v>0</v>
      </c>
      <c r="K54" s="99"/>
    </row>
    <row r="55" spans="1:11" ht="20.25" customHeight="1" x14ac:dyDescent="0.25">
      <c r="B55" s="138"/>
      <c r="C55" s="138"/>
      <c r="D55" s="138"/>
      <c r="E55" s="138"/>
      <c r="F55" s="138"/>
      <c r="G55" s="138"/>
      <c r="H55" s="138"/>
      <c r="I55" s="138"/>
      <c r="J55" s="138"/>
    </row>
    <row r="56" spans="1:11" ht="20.25" customHeight="1" x14ac:dyDescent="0.25">
      <c r="A56" s="46" t="s">
        <v>183</v>
      </c>
      <c r="B56" s="139">
        <f>B42-B54</f>
        <v>0</v>
      </c>
      <c r="C56" s="139">
        <f>C42-C54</f>
        <v>0</v>
      </c>
      <c r="D56" s="140">
        <f t="shared" ref="D56:J56" si="11">D42-D54</f>
        <v>0</v>
      </c>
      <c r="E56" s="140">
        <f t="shared" si="11"/>
        <v>0</v>
      </c>
      <c r="F56" s="140">
        <f t="shared" si="11"/>
        <v>0</v>
      </c>
      <c r="G56" s="140">
        <f t="shared" si="11"/>
        <v>0</v>
      </c>
      <c r="H56" s="140">
        <f t="shared" si="11"/>
        <v>0</v>
      </c>
      <c r="I56" s="140">
        <f t="shared" si="11"/>
        <v>0</v>
      </c>
      <c r="J56" s="141">
        <f t="shared" si="11"/>
        <v>0</v>
      </c>
      <c r="K56" s="99" t="s">
        <v>184</v>
      </c>
    </row>
  </sheetData>
  <sheetProtection sheet="1" objects="1" scenarios="1" selectLockedCells="1"/>
  <mergeCells count="7">
    <mergeCell ref="A47:J47"/>
    <mergeCell ref="K6:K7"/>
    <mergeCell ref="A6:A7"/>
    <mergeCell ref="B6:J6"/>
    <mergeCell ref="A1:J1"/>
    <mergeCell ref="A3:J3"/>
    <mergeCell ref="A45:J45"/>
  </mergeCells>
  <phoneticPr fontId="2" type="noConversion"/>
  <dataValidations count="1">
    <dataValidation type="decimal" errorStyle="warning" allowBlank="1" showInputMessage="1" showErrorMessage="1" errorTitle="Attention" error="Merci de saisir des chiffres." sqref="B10:J14 B18:J21 B24:J26 B29:J31 B34:J35 B38:J40" xr:uid="{FF815038-F87A-419B-A0FE-1E8F94A02475}">
      <formula1>-99999999999999</formula1>
      <formula2>99999999999999</formula2>
    </dataValidation>
  </dataValidations>
  <printOptions horizontalCentered="1"/>
  <pageMargins left="0.3" right="0.3" top="0.5" bottom="0.5" header="0.3" footer="0.3"/>
  <pageSetup paperSize="9" scale="55"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B3DDC-9761-4E20-A81C-F27FE8034877}">
  <sheetPr codeName="Exploitation">
    <tabColor rgb="FFFFE0B3"/>
    <pageSetUpPr fitToPage="1"/>
  </sheetPr>
  <dimension ref="A1:L124"/>
  <sheetViews>
    <sheetView showGridLines="0" zoomScaleNormal="100" workbookViewId="0">
      <pane xSplit="1" topLeftCell="B1" activePane="topRight" state="frozen"/>
      <selection sqref="A1:C1"/>
      <selection pane="topRight" activeCell="A14" sqref="A14"/>
    </sheetView>
  </sheetViews>
  <sheetFormatPr baseColWidth="10" defaultColWidth="85.140625" defaultRowHeight="15" x14ac:dyDescent="0.25"/>
  <cols>
    <col min="1" max="1" width="54.42578125" style="4" bestFit="1" customWidth="1"/>
    <col min="2" max="2" width="15.42578125" style="4" bestFit="1" customWidth="1"/>
    <col min="3" max="10" width="11.7109375" style="4" customWidth="1"/>
    <col min="11" max="11" width="56.5703125" style="4" customWidth="1"/>
    <col min="12" max="12" width="61.28515625" style="4" customWidth="1"/>
    <col min="13" max="16384" width="85.140625" style="4"/>
  </cols>
  <sheetData>
    <row r="1" spans="1:12" ht="57" customHeight="1" thickBot="1" x14ac:dyDescent="0.3">
      <c r="A1" s="175" t="s">
        <v>185</v>
      </c>
      <c r="B1" s="175"/>
      <c r="C1" s="175"/>
      <c r="D1" s="175"/>
      <c r="E1" s="175"/>
      <c r="F1" s="175"/>
      <c r="G1" s="175"/>
      <c r="H1" s="175"/>
      <c r="I1" s="175"/>
      <c r="J1" s="175"/>
    </row>
    <row r="2" spans="1:12" ht="20.25" customHeight="1" x14ac:dyDescent="0.25"/>
    <row r="3" spans="1:12" ht="20.25" customHeight="1" x14ac:dyDescent="0.35">
      <c r="A3" s="176" t="s">
        <v>186</v>
      </c>
      <c r="B3" s="176"/>
      <c r="C3" s="176"/>
      <c r="D3" s="176"/>
      <c r="E3" s="176"/>
      <c r="F3" s="176"/>
      <c r="G3" s="176"/>
      <c r="H3" s="176"/>
      <c r="I3" s="176"/>
      <c r="J3" s="176"/>
      <c r="K3" s="177"/>
      <c r="L3" s="177"/>
    </row>
    <row r="4" spans="1:12" ht="20.25" customHeight="1" x14ac:dyDescent="0.25">
      <c r="B4" s="6"/>
      <c r="C4" s="6"/>
      <c r="D4" s="6"/>
      <c r="E4" s="6"/>
      <c r="F4" s="6"/>
      <c r="G4" s="6"/>
      <c r="H4" s="6"/>
      <c r="I4" s="6"/>
      <c r="J4" s="6"/>
    </row>
    <row r="5" spans="1:12" ht="20.25" customHeight="1" x14ac:dyDescent="0.25">
      <c r="A5" s="170" t="s">
        <v>187</v>
      </c>
      <c r="B5" s="170" t="s">
        <v>335</v>
      </c>
      <c r="C5" s="170"/>
      <c r="D5" s="170"/>
      <c r="E5" s="170"/>
      <c r="F5" s="170"/>
      <c r="G5" s="170"/>
      <c r="H5" s="170"/>
      <c r="I5" s="170"/>
      <c r="J5" s="170"/>
      <c r="K5" s="170" t="s">
        <v>188</v>
      </c>
      <c r="L5" s="170"/>
    </row>
    <row r="6" spans="1:12" ht="56.25" x14ac:dyDescent="0.25">
      <c r="A6" s="170"/>
      <c r="B6" s="25" t="s">
        <v>125</v>
      </c>
      <c r="C6" s="25" t="s">
        <v>96</v>
      </c>
      <c r="D6" s="25" t="s">
        <v>97</v>
      </c>
      <c r="E6" s="25" t="s">
        <v>98</v>
      </c>
      <c r="F6" s="25" t="s">
        <v>99</v>
      </c>
      <c r="G6" s="25" t="s">
        <v>100</v>
      </c>
      <c r="H6" s="25" t="s">
        <v>101</v>
      </c>
      <c r="I6" s="25" t="s">
        <v>102</v>
      </c>
      <c r="J6" s="25" t="s">
        <v>103</v>
      </c>
      <c r="K6" s="170"/>
      <c r="L6" s="170"/>
    </row>
    <row r="7" spans="1:12" ht="20.25" customHeight="1" x14ac:dyDescent="0.25">
      <c r="A7" s="7"/>
      <c r="B7" s="8"/>
      <c r="C7" s="8"/>
      <c r="D7" s="8"/>
      <c r="E7" s="8"/>
      <c r="F7" s="8"/>
      <c r="G7" s="8"/>
      <c r="H7" s="8"/>
      <c r="I7" s="8"/>
      <c r="J7" s="8"/>
      <c r="K7" s="184"/>
      <c r="L7" s="184"/>
    </row>
    <row r="8" spans="1:12" ht="20.25" customHeight="1" x14ac:dyDescent="0.25">
      <c r="A8" s="28" t="s">
        <v>189</v>
      </c>
      <c r="B8" s="22">
        <f t="shared" ref="B8:J8" si="0">SUM(B9:B21)</f>
        <v>0</v>
      </c>
      <c r="C8" s="22">
        <f t="shared" si="0"/>
        <v>0</v>
      </c>
      <c r="D8" s="22">
        <f t="shared" si="0"/>
        <v>0</v>
      </c>
      <c r="E8" s="22">
        <f t="shared" si="0"/>
        <v>0</v>
      </c>
      <c r="F8" s="22">
        <f t="shared" si="0"/>
        <v>0</v>
      </c>
      <c r="G8" s="22">
        <f t="shared" si="0"/>
        <v>0</v>
      </c>
      <c r="H8" s="22">
        <f t="shared" si="0"/>
        <v>0</v>
      </c>
      <c r="I8" s="22">
        <f t="shared" si="0"/>
        <v>0</v>
      </c>
      <c r="J8" s="22">
        <f t="shared" si="0"/>
        <v>0</v>
      </c>
      <c r="K8" s="178"/>
      <c r="L8" s="178"/>
    </row>
    <row r="9" spans="1:12" ht="20.25" customHeight="1" x14ac:dyDescent="0.25">
      <c r="A9" s="40" t="s">
        <v>190</v>
      </c>
      <c r="B9" s="3">
        <f>'💡 Hypothèses'!$B$9*(1+'💡 Hypothèses'!$B$13)*'💡 Hypothèses'!B36</f>
        <v>0</v>
      </c>
      <c r="C9" s="3">
        <f>'💡 Hypothèses'!$B$9*(1+'💡 Hypothèses'!$B$13)*'💡 Hypothèses'!C36</f>
        <v>0</v>
      </c>
      <c r="D9" s="3">
        <f>'💡 Hypothèses'!$B$9*(1+'💡 Hypothèses'!$B$19)*(1+'💡 Hypothèses'!$B$13)*'💡 Hypothèses'!D36</f>
        <v>0</v>
      </c>
      <c r="E9" s="3">
        <f>'💡 Hypothèses'!$B$9*(1+'💡 Hypothèses'!$B$19)^2*(1+'💡 Hypothèses'!$B$13)*'💡 Hypothèses'!E36</f>
        <v>0</v>
      </c>
      <c r="F9" s="3">
        <f>'💡 Hypothèses'!$B$9*(1+'💡 Hypothèses'!$B$19)^3*(1+'💡 Hypothèses'!$B$13)*'💡 Hypothèses'!F36</f>
        <v>0</v>
      </c>
      <c r="G9" s="3">
        <f>'💡 Hypothèses'!$B$9*(1+'💡 Hypothèses'!$B$19)^4*(1+'💡 Hypothèses'!$B$13)*'💡 Hypothèses'!G36</f>
        <v>0</v>
      </c>
      <c r="H9" s="3">
        <f>'💡 Hypothèses'!$B$9*(1+'💡 Hypothèses'!$B$19)^5*(1+'💡 Hypothèses'!$B$13)*'💡 Hypothèses'!H36</f>
        <v>0</v>
      </c>
      <c r="I9" s="3">
        <f>'💡 Hypothèses'!$B$9*(1+'💡 Hypothèses'!$B$19)^6*(1+'💡 Hypothèses'!$B$13)*'💡 Hypothèses'!I36</f>
        <v>0</v>
      </c>
      <c r="J9" s="3">
        <f>'💡 Hypothèses'!$B$9*(1+'💡 Hypothèses'!$B$19)^7*(1+'💡 Hypothèses'!$B$13)*'💡 Hypothèses'!J36</f>
        <v>0</v>
      </c>
      <c r="K9" s="179" t="s">
        <v>191</v>
      </c>
      <c r="L9" s="180"/>
    </row>
    <row r="10" spans="1:12" ht="20.25" customHeight="1" x14ac:dyDescent="0.25">
      <c r="A10" s="40" t="s">
        <v>192</v>
      </c>
      <c r="B10" s="3">
        <f>'💡 Hypothèses'!$B$10*(1+'💡 Hypothèses'!$B$13)*'💡 Hypothèses'!B37</f>
        <v>0</v>
      </c>
      <c r="C10" s="3">
        <f>'💡 Hypothèses'!$B$10*(1+'💡 Hypothèses'!$B$13)*'💡 Hypothèses'!C37</f>
        <v>0</v>
      </c>
      <c r="D10" s="3">
        <f>'💡 Hypothèses'!$B$10*(1+'💡 Hypothèses'!$B$19)*(1+'💡 Hypothèses'!$B$13)*'💡 Hypothèses'!D37</f>
        <v>0</v>
      </c>
      <c r="E10" s="3">
        <f>'💡 Hypothèses'!$B$10*(1+'💡 Hypothèses'!$B$19)^2*(1+'💡 Hypothèses'!$B$13)*'💡 Hypothèses'!E37</f>
        <v>0</v>
      </c>
      <c r="F10" s="3">
        <f>'💡 Hypothèses'!$B$10*(1+'💡 Hypothèses'!$B$19)^3*(1+'💡 Hypothèses'!$B$13)*'💡 Hypothèses'!F37</f>
        <v>0</v>
      </c>
      <c r="G10" s="3">
        <f>'💡 Hypothèses'!$B$10*(1+'💡 Hypothèses'!$B$19)^4*(1+'💡 Hypothèses'!$B$13)*'💡 Hypothèses'!G37</f>
        <v>0</v>
      </c>
      <c r="H10" s="3">
        <f>'💡 Hypothèses'!$B$10*(1+'💡 Hypothèses'!$B$19)^5*(1+'💡 Hypothèses'!$B$13)*'💡 Hypothèses'!H37</f>
        <v>0</v>
      </c>
      <c r="I10" s="3">
        <f>'💡 Hypothèses'!$B$10*(1+'💡 Hypothèses'!$B$19)^6*(1+'💡 Hypothèses'!$B$13)*'💡 Hypothèses'!I37</f>
        <v>0</v>
      </c>
      <c r="J10" s="3">
        <f>'💡 Hypothèses'!$B$10*(1+'💡 Hypothèses'!$B$19)^7*(1+'💡 Hypothèses'!$B$13)*'💡 Hypothèses'!J37</f>
        <v>0</v>
      </c>
      <c r="K10" s="179" t="s">
        <v>193</v>
      </c>
      <c r="L10" s="180"/>
    </row>
    <row r="11" spans="1:12" ht="20.25" customHeight="1" x14ac:dyDescent="0.25">
      <c r="A11" s="40" t="s">
        <v>194</v>
      </c>
      <c r="B11" s="3">
        <f>'💡 Hypothèses'!$B$11*(1+'💡 Hypothèses'!$B$13)*'💡 Hypothèses'!B38</f>
        <v>0</v>
      </c>
      <c r="C11" s="3">
        <f>'💡 Hypothèses'!$B$11*(1+'💡 Hypothèses'!$B$13)*'💡 Hypothèses'!C38</f>
        <v>0</v>
      </c>
      <c r="D11" s="3">
        <f>'💡 Hypothèses'!$B$11*(1+'💡 Hypothèses'!$B$19)*(1+'💡 Hypothèses'!$B$13)*'💡 Hypothèses'!D38</f>
        <v>0</v>
      </c>
      <c r="E11" s="3">
        <f>'💡 Hypothèses'!$B$11*(1+'💡 Hypothèses'!$B$19)^2*(1+'💡 Hypothèses'!$B$13)*'💡 Hypothèses'!E38</f>
        <v>0</v>
      </c>
      <c r="F11" s="3">
        <f>'💡 Hypothèses'!$B$11*(1+'💡 Hypothèses'!$B$19)^3*(1+'💡 Hypothèses'!$B$13)*'💡 Hypothèses'!F38</f>
        <v>0</v>
      </c>
      <c r="G11" s="3">
        <f>'💡 Hypothèses'!$B$11*(1+'💡 Hypothèses'!$B$19)^4*(1+'💡 Hypothèses'!$B$13)*'💡 Hypothèses'!G38</f>
        <v>0</v>
      </c>
      <c r="H11" s="3">
        <f>'💡 Hypothèses'!$B$11*(1+'💡 Hypothèses'!$B$19)^5*(1+'💡 Hypothèses'!$B$13)*'💡 Hypothèses'!H38</f>
        <v>0</v>
      </c>
      <c r="I11" s="3">
        <f>'💡 Hypothèses'!$B$11*(1+'💡 Hypothèses'!$B$19)^6*(1+'💡 Hypothèses'!$B$13)*'💡 Hypothèses'!I38</f>
        <v>0</v>
      </c>
      <c r="J11" s="3">
        <f>'💡 Hypothèses'!$B$11*(1+'💡 Hypothèses'!$B$19)^7*(1+'💡 Hypothèses'!$B$13)*'💡 Hypothèses'!J38</f>
        <v>0</v>
      </c>
      <c r="K11" s="179" t="s">
        <v>195</v>
      </c>
      <c r="L11" s="180"/>
    </row>
    <row r="12" spans="1:12" ht="20.25" customHeight="1" x14ac:dyDescent="0.25">
      <c r="A12" s="40" t="s">
        <v>196</v>
      </c>
      <c r="B12" s="3">
        <f>'💡 Hypothèses'!$B$12*'💡 Hypothèses'!B39</f>
        <v>0</v>
      </c>
      <c r="C12" s="3">
        <f>'💡 Hypothèses'!$B$12*'💡 Hypothèses'!C39</f>
        <v>0</v>
      </c>
      <c r="D12" s="3">
        <f>'💡 Hypothèses'!$B$12*1.02*'💡 Hypothèses'!D39</f>
        <v>0</v>
      </c>
      <c r="E12" s="3">
        <f>'💡 Hypothèses'!$B$12*1.02^2*'💡 Hypothèses'!E39</f>
        <v>0</v>
      </c>
      <c r="F12" s="3">
        <f>'💡 Hypothèses'!$B$12*1.02^3*'💡 Hypothèses'!F39</f>
        <v>0</v>
      </c>
      <c r="G12" s="3">
        <f>'💡 Hypothèses'!$B$12*1.02^4*'💡 Hypothèses'!G39</f>
        <v>0</v>
      </c>
      <c r="H12" s="3">
        <f>'💡 Hypothèses'!$B$12*1.02^5*'💡 Hypothèses'!H39</f>
        <v>0</v>
      </c>
      <c r="I12" s="3">
        <f>'💡 Hypothèses'!$B$12*1.02^6*'💡 Hypothèses'!I39</f>
        <v>0</v>
      </c>
      <c r="J12" s="50">
        <f>'💡 Hypothèses'!$B$12*1.02^7*'💡 Hypothèses'!J39</f>
        <v>0</v>
      </c>
      <c r="K12" s="156" t="s">
        <v>197</v>
      </c>
      <c r="L12" s="157"/>
    </row>
    <row r="13" spans="1:12" ht="20.25" customHeight="1" x14ac:dyDescent="0.25">
      <c r="A13" s="9" t="s">
        <v>198</v>
      </c>
      <c r="B13" s="10"/>
      <c r="C13" s="10"/>
      <c r="D13" s="10"/>
      <c r="E13" s="10"/>
      <c r="F13" s="10"/>
      <c r="G13" s="10"/>
      <c r="H13" s="10"/>
      <c r="I13" s="10"/>
      <c r="J13" s="10"/>
      <c r="K13" s="177"/>
      <c r="L13" s="177"/>
    </row>
    <row r="14" spans="1:12" ht="20.25" customHeight="1" x14ac:dyDescent="0.25">
      <c r="A14" s="47" t="s">
        <v>199</v>
      </c>
      <c r="B14" s="1"/>
      <c r="C14" s="1"/>
      <c r="D14" s="1"/>
      <c r="E14" s="1"/>
      <c r="F14" s="1"/>
      <c r="G14" s="1"/>
      <c r="H14" s="1"/>
      <c r="I14" s="1"/>
      <c r="J14" s="1"/>
      <c r="K14" s="179" t="s">
        <v>200</v>
      </c>
      <c r="L14" s="180"/>
    </row>
    <row r="15" spans="1:12" ht="20.25" customHeight="1" x14ac:dyDescent="0.25">
      <c r="A15" s="47" t="s">
        <v>201</v>
      </c>
      <c r="B15" s="1"/>
      <c r="C15" s="1"/>
      <c r="D15" s="1"/>
      <c r="E15" s="1"/>
      <c r="F15" s="1"/>
      <c r="G15" s="1"/>
      <c r="H15" s="1"/>
      <c r="I15" s="1"/>
      <c r="J15" s="1"/>
      <c r="K15" s="179" t="s">
        <v>200</v>
      </c>
      <c r="L15" s="180"/>
    </row>
    <row r="16" spans="1:12" ht="20.25" customHeight="1" x14ac:dyDescent="0.25">
      <c r="A16" s="47" t="s">
        <v>202</v>
      </c>
      <c r="B16" s="1"/>
      <c r="C16" s="1"/>
      <c r="D16" s="1"/>
      <c r="E16" s="1"/>
      <c r="F16" s="1"/>
      <c r="G16" s="1"/>
      <c r="H16" s="1"/>
      <c r="I16" s="1"/>
      <c r="J16" s="1"/>
      <c r="K16" s="179" t="s">
        <v>200</v>
      </c>
      <c r="L16" s="180"/>
    </row>
    <row r="17" spans="1:12" ht="20.25" customHeight="1" x14ac:dyDescent="0.25">
      <c r="A17" s="47" t="s">
        <v>203</v>
      </c>
      <c r="B17" s="1"/>
      <c r="C17" s="1"/>
      <c r="D17" s="1"/>
      <c r="E17" s="1"/>
      <c r="F17" s="1"/>
      <c r="G17" s="1"/>
      <c r="H17" s="1"/>
      <c r="I17" s="1"/>
      <c r="J17" s="1"/>
      <c r="K17" s="179" t="s">
        <v>200</v>
      </c>
      <c r="L17" s="180"/>
    </row>
    <row r="18" spans="1:12" ht="20.25" customHeight="1" x14ac:dyDescent="0.25">
      <c r="A18" s="40" t="str">
        <f>A14&amp;" "&amp;"- Charges sociales"</f>
        <v>Divers 1 (Poste à saisir) - Charges sociales</v>
      </c>
      <c r="B18" s="22">
        <f>B14*('💡 Hypothèses'!$B$13)</f>
        <v>0</v>
      </c>
      <c r="C18" s="22">
        <f>C14*('💡 Hypothèses'!$B$13)</f>
        <v>0</v>
      </c>
      <c r="D18" s="22">
        <f>D14*('💡 Hypothèses'!$B$13)</f>
        <v>0</v>
      </c>
      <c r="E18" s="22">
        <f>E14*('💡 Hypothèses'!$B$13)</f>
        <v>0</v>
      </c>
      <c r="F18" s="22">
        <f>F14*('💡 Hypothèses'!$B$13)</f>
        <v>0</v>
      </c>
      <c r="G18" s="22">
        <f>G14*('💡 Hypothèses'!$B$13)</f>
        <v>0</v>
      </c>
      <c r="H18" s="22">
        <f>H14*('💡 Hypothèses'!$B$13)</f>
        <v>0</v>
      </c>
      <c r="I18" s="22">
        <f>I14*('💡 Hypothèses'!$B$13)</f>
        <v>0</v>
      </c>
      <c r="J18" s="22">
        <f>J14*('💡 Hypothèses'!$B$13)</f>
        <v>0</v>
      </c>
      <c r="K18" s="179" t="s">
        <v>204</v>
      </c>
      <c r="L18" s="180"/>
    </row>
    <row r="19" spans="1:12" ht="20.25" customHeight="1" x14ac:dyDescent="0.25">
      <c r="A19" s="40" t="str">
        <f t="shared" ref="A19:A21" si="1">A15&amp;" "&amp;"- Charges sociales"</f>
        <v>Divers 2 (Poste à saisir) - Charges sociales</v>
      </c>
      <c r="B19" s="22">
        <f>B15*('💡 Hypothèses'!$B$13)</f>
        <v>0</v>
      </c>
      <c r="C19" s="22">
        <f>C15*('💡 Hypothèses'!$B$13)</f>
        <v>0</v>
      </c>
      <c r="D19" s="22">
        <f>D15*('💡 Hypothèses'!$B$13)</f>
        <v>0</v>
      </c>
      <c r="E19" s="22">
        <f>E15*('💡 Hypothèses'!$B$13)</f>
        <v>0</v>
      </c>
      <c r="F19" s="22">
        <f>F15*('💡 Hypothèses'!$B$13)</f>
        <v>0</v>
      </c>
      <c r="G19" s="22">
        <f>G15*('💡 Hypothèses'!$B$13)</f>
        <v>0</v>
      </c>
      <c r="H19" s="22">
        <f>H15*('💡 Hypothèses'!$B$13)</f>
        <v>0</v>
      </c>
      <c r="I19" s="22">
        <f>I15*('💡 Hypothèses'!$B$13)</f>
        <v>0</v>
      </c>
      <c r="J19" s="22">
        <f>J15*('💡 Hypothèses'!$B$13)</f>
        <v>0</v>
      </c>
      <c r="K19" s="179" t="s">
        <v>204</v>
      </c>
      <c r="L19" s="180"/>
    </row>
    <row r="20" spans="1:12" ht="20.25" customHeight="1" x14ac:dyDescent="0.25">
      <c r="A20" s="40" t="str">
        <f t="shared" si="1"/>
        <v>Divers 3 (Poste à saisir) - Charges sociales</v>
      </c>
      <c r="B20" s="22">
        <f>B16*('💡 Hypothèses'!$B$13)</f>
        <v>0</v>
      </c>
      <c r="C20" s="22">
        <f>C16*('💡 Hypothèses'!$B$13)</f>
        <v>0</v>
      </c>
      <c r="D20" s="22">
        <f>D16*('💡 Hypothèses'!$B$13)</f>
        <v>0</v>
      </c>
      <c r="E20" s="22">
        <f>E16*('💡 Hypothèses'!$B$13)</f>
        <v>0</v>
      </c>
      <c r="F20" s="22">
        <f>F16*('💡 Hypothèses'!$B$13)</f>
        <v>0</v>
      </c>
      <c r="G20" s="22">
        <f>G16*('💡 Hypothèses'!$B$13)</f>
        <v>0</v>
      </c>
      <c r="H20" s="22">
        <f>H16*('💡 Hypothèses'!$B$13)</f>
        <v>0</v>
      </c>
      <c r="I20" s="22">
        <f>I16*('💡 Hypothèses'!$B$13)</f>
        <v>0</v>
      </c>
      <c r="J20" s="22">
        <f>J16*('💡 Hypothèses'!$B$13)</f>
        <v>0</v>
      </c>
      <c r="K20" s="179" t="s">
        <v>204</v>
      </c>
      <c r="L20" s="180"/>
    </row>
    <row r="21" spans="1:12" ht="20.25" customHeight="1" x14ac:dyDescent="0.25">
      <c r="A21" s="40" t="str">
        <f t="shared" si="1"/>
        <v>Divers 4 (Poste à saisir) - Charges sociales</v>
      </c>
      <c r="B21" s="22">
        <f>B17*('💡 Hypothèses'!$B$13)</f>
        <v>0</v>
      </c>
      <c r="C21" s="22">
        <f>C17*('💡 Hypothèses'!$B$13)</f>
        <v>0</v>
      </c>
      <c r="D21" s="22">
        <f>D17*('💡 Hypothèses'!$B$13)</f>
        <v>0</v>
      </c>
      <c r="E21" s="22">
        <f>E17*('💡 Hypothèses'!$B$13)</f>
        <v>0</v>
      </c>
      <c r="F21" s="22">
        <f>F17*('💡 Hypothèses'!$B$13)</f>
        <v>0</v>
      </c>
      <c r="G21" s="22">
        <f>G17*('💡 Hypothèses'!$B$13)</f>
        <v>0</v>
      </c>
      <c r="H21" s="22">
        <f>H17*('💡 Hypothèses'!$B$13)</f>
        <v>0</v>
      </c>
      <c r="I21" s="22">
        <f>I17*('💡 Hypothèses'!$B$13)</f>
        <v>0</v>
      </c>
      <c r="J21" s="49">
        <f>J17*('💡 Hypothèses'!$B$13)</f>
        <v>0</v>
      </c>
      <c r="K21" s="156" t="s">
        <v>204</v>
      </c>
      <c r="L21" s="157"/>
    </row>
    <row r="22" spans="1:12" ht="20.25" customHeight="1" x14ac:dyDescent="0.25">
      <c r="A22" s="12"/>
      <c r="B22" s="75" t="s">
        <v>162</v>
      </c>
      <c r="C22" s="75" t="s">
        <v>96</v>
      </c>
      <c r="D22" s="75" t="s">
        <v>97</v>
      </c>
      <c r="E22" s="75" t="s">
        <v>98</v>
      </c>
      <c r="F22" s="75" t="s">
        <v>99</v>
      </c>
      <c r="G22" s="75" t="s">
        <v>100</v>
      </c>
      <c r="H22" s="75" t="s">
        <v>101</v>
      </c>
      <c r="I22" s="75" t="s">
        <v>102</v>
      </c>
      <c r="J22" s="75" t="s">
        <v>103</v>
      </c>
      <c r="K22" s="177"/>
      <c r="L22" s="177"/>
    </row>
    <row r="23" spans="1:12" ht="20.25" customHeight="1" x14ac:dyDescent="0.25">
      <c r="A23" s="28" t="s">
        <v>205</v>
      </c>
      <c r="B23" s="22">
        <f>SUM(B24:B38)</f>
        <v>0</v>
      </c>
      <c r="C23" s="22">
        <f t="shared" ref="C23:J23" si="2">SUM(C24:C38)</f>
        <v>0</v>
      </c>
      <c r="D23" s="22">
        <f t="shared" si="2"/>
        <v>0</v>
      </c>
      <c r="E23" s="22">
        <f t="shared" si="2"/>
        <v>0</v>
      </c>
      <c r="F23" s="22">
        <f t="shared" si="2"/>
        <v>0</v>
      </c>
      <c r="G23" s="22">
        <f t="shared" si="2"/>
        <v>0</v>
      </c>
      <c r="H23" s="22">
        <f t="shared" si="2"/>
        <v>0</v>
      </c>
      <c r="I23" s="22">
        <f t="shared" si="2"/>
        <v>0</v>
      </c>
      <c r="J23" s="22">
        <f t="shared" si="2"/>
        <v>0</v>
      </c>
      <c r="K23" s="178"/>
      <c r="L23" s="178"/>
    </row>
    <row r="24" spans="1:12" ht="20.25" customHeight="1" x14ac:dyDescent="0.25">
      <c r="A24" s="40" t="s">
        <v>206</v>
      </c>
      <c r="B24" s="1"/>
      <c r="C24" s="1"/>
      <c r="D24" s="1"/>
      <c r="E24" s="1"/>
      <c r="F24" s="1"/>
      <c r="G24" s="1"/>
      <c r="H24" s="1"/>
      <c r="I24" s="1"/>
      <c r="J24" s="1"/>
      <c r="K24" s="179" t="s">
        <v>207</v>
      </c>
      <c r="L24" s="180"/>
    </row>
    <row r="25" spans="1:12" ht="20.25" customHeight="1" x14ac:dyDescent="0.25">
      <c r="A25" s="40" t="s">
        <v>208</v>
      </c>
      <c r="B25" s="1"/>
      <c r="C25" s="1"/>
      <c r="D25" s="1"/>
      <c r="E25" s="1"/>
      <c r="F25" s="1"/>
      <c r="G25" s="1"/>
      <c r="H25" s="1"/>
      <c r="I25" s="1"/>
      <c r="J25" s="1"/>
      <c r="K25" s="179" t="s">
        <v>207</v>
      </c>
      <c r="L25" s="180"/>
    </row>
    <row r="26" spans="1:12" ht="20.25" customHeight="1" x14ac:dyDescent="0.25">
      <c r="A26" s="40" t="s">
        <v>209</v>
      </c>
      <c r="B26" s="1"/>
      <c r="C26" s="1"/>
      <c r="D26" s="1"/>
      <c r="E26" s="1"/>
      <c r="F26" s="1"/>
      <c r="G26" s="1"/>
      <c r="H26" s="1"/>
      <c r="I26" s="1"/>
      <c r="J26" s="1"/>
      <c r="K26" s="179" t="s">
        <v>207</v>
      </c>
      <c r="L26" s="180"/>
    </row>
    <row r="27" spans="1:12" ht="20.25" customHeight="1" x14ac:dyDescent="0.25">
      <c r="A27" s="40" t="s">
        <v>210</v>
      </c>
      <c r="B27" s="1"/>
      <c r="C27" s="1"/>
      <c r="D27" s="1"/>
      <c r="E27" s="1"/>
      <c r="F27" s="1"/>
      <c r="G27" s="1"/>
      <c r="H27" s="1"/>
      <c r="I27" s="1"/>
      <c r="J27" s="1"/>
      <c r="K27" s="179" t="s">
        <v>211</v>
      </c>
      <c r="L27" s="180"/>
    </row>
    <row r="28" spans="1:12" ht="20.25" customHeight="1" x14ac:dyDescent="0.25">
      <c r="A28" s="40" t="s">
        <v>212</v>
      </c>
      <c r="B28" s="1"/>
      <c r="C28" s="1"/>
      <c r="D28" s="1"/>
      <c r="E28" s="1"/>
      <c r="F28" s="1"/>
      <c r="G28" s="1"/>
      <c r="H28" s="1"/>
      <c r="I28" s="1"/>
      <c r="J28" s="1"/>
      <c r="K28" s="179" t="s">
        <v>213</v>
      </c>
      <c r="L28" s="180"/>
    </row>
    <row r="29" spans="1:12" ht="20.25" customHeight="1" x14ac:dyDescent="0.25">
      <c r="A29" s="40" t="s">
        <v>214</v>
      </c>
      <c r="B29" s="1"/>
      <c r="C29" s="1"/>
      <c r="D29" s="1"/>
      <c r="E29" s="1"/>
      <c r="F29" s="1"/>
      <c r="G29" s="1"/>
      <c r="H29" s="1"/>
      <c r="I29" s="1"/>
      <c r="J29" s="1"/>
      <c r="K29" s="179" t="s">
        <v>215</v>
      </c>
      <c r="L29" s="180"/>
    </row>
    <row r="30" spans="1:12" ht="20.25" customHeight="1" x14ac:dyDescent="0.25">
      <c r="A30" s="40" t="s">
        <v>216</v>
      </c>
      <c r="B30" s="1"/>
      <c r="C30" s="1"/>
      <c r="D30" s="1"/>
      <c r="E30" s="1"/>
      <c r="F30" s="1"/>
      <c r="G30" s="1"/>
      <c r="H30" s="1"/>
      <c r="I30" s="1"/>
      <c r="J30" s="1"/>
      <c r="K30" s="179" t="s">
        <v>217</v>
      </c>
      <c r="L30" s="180"/>
    </row>
    <row r="31" spans="1:12" ht="20.25" customHeight="1" x14ac:dyDescent="0.25">
      <c r="A31" s="40" t="s">
        <v>218</v>
      </c>
      <c r="B31" s="1"/>
      <c r="C31" s="1"/>
      <c r="D31" s="1"/>
      <c r="E31" s="1"/>
      <c r="F31" s="1"/>
      <c r="G31" s="1"/>
      <c r="H31" s="1"/>
      <c r="I31" s="1"/>
      <c r="J31" s="1"/>
      <c r="K31" s="179" t="s">
        <v>219</v>
      </c>
      <c r="L31" s="180"/>
    </row>
    <row r="32" spans="1:12" ht="20.25" customHeight="1" x14ac:dyDescent="0.25">
      <c r="A32" s="40" t="s">
        <v>220</v>
      </c>
      <c r="B32" s="1"/>
      <c r="C32" s="1"/>
      <c r="D32" s="1"/>
      <c r="E32" s="1"/>
      <c r="F32" s="1"/>
      <c r="G32" s="1"/>
      <c r="H32" s="1"/>
      <c r="I32" s="1"/>
      <c r="J32" s="1"/>
      <c r="K32" s="179" t="s">
        <v>221</v>
      </c>
      <c r="L32" s="180"/>
    </row>
    <row r="33" spans="1:12" ht="20.25" customHeight="1" x14ac:dyDescent="0.25">
      <c r="A33" s="40" t="s">
        <v>222</v>
      </c>
      <c r="B33" s="1"/>
      <c r="C33" s="1"/>
      <c r="D33" s="1"/>
      <c r="E33" s="1"/>
      <c r="F33" s="1"/>
      <c r="G33" s="1"/>
      <c r="H33" s="1"/>
      <c r="I33" s="1"/>
      <c r="J33" s="1"/>
      <c r="K33" s="179" t="s">
        <v>223</v>
      </c>
      <c r="L33" s="180"/>
    </row>
    <row r="34" spans="1:12" ht="20.25" customHeight="1" x14ac:dyDescent="0.25">
      <c r="A34" s="40" t="s">
        <v>224</v>
      </c>
      <c r="B34" s="1"/>
      <c r="C34" s="1"/>
      <c r="D34" s="1"/>
      <c r="E34" s="1"/>
      <c r="F34" s="1"/>
      <c r="G34" s="1"/>
      <c r="H34" s="1"/>
      <c r="I34" s="1"/>
      <c r="J34" s="1"/>
      <c r="K34" s="179" t="s">
        <v>225</v>
      </c>
      <c r="L34" s="180"/>
    </row>
    <row r="35" spans="1:12" ht="20.25" customHeight="1" x14ac:dyDescent="0.25">
      <c r="A35" s="40" t="s">
        <v>226</v>
      </c>
      <c r="B35" s="1"/>
      <c r="C35" s="1"/>
      <c r="D35" s="1"/>
      <c r="E35" s="1"/>
      <c r="F35" s="1"/>
      <c r="G35" s="1"/>
      <c r="H35" s="1"/>
      <c r="I35" s="1"/>
      <c r="J35" s="1"/>
      <c r="K35" s="179" t="s">
        <v>227</v>
      </c>
      <c r="L35" s="180"/>
    </row>
    <row r="36" spans="1:12" ht="20.25" customHeight="1" x14ac:dyDescent="0.25">
      <c r="A36" s="40" t="s">
        <v>228</v>
      </c>
      <c r="B36" s="1"/>
      <c r="C36" s="1"/>
      <c r="D36" s="1"/>
      <c r="E36" s="1"/>
      <c r="F36" s="1"/>
      <c r="G36" s="1"/>
      <c r="H36" s="1"/>
      <c r="I36" s="1"/>
      <c r="J36" s="1"/>
      <c r="K36" s="179" t="s">
        <v>229</v>
      </c>
      <c r="L36" s="180"/>
    </row>
    <row r="37" spans="1:12" ht="20.25" customHeight="1" x14ac:dyDescent="0.25">
      <c r="A37" s="40" t="s">
        <v>230</v>
      </c>
      <c r="B37" s="1"/>
      <c r="C37" s="1"/>
      <c r="D37" s="1"/>
      <c r="E37" s="1"/>
      <c r="F37" s="1"/>
      <c r="G37" s="1"/>
      <c r="H37" s="1"/>
      <c r="I37" s="1"/>
      <c r="J37" s="1"/>
      <c r="K37" s="179" t="s">
        <v>231</v>
      </c>
      <c r="L37" s="180"/>
    </row>
    <row r="38" spans="1:12" ht="20.25" customHeight="1" x14ac:dyDescent="0.25">
      <c r="A38" s="40" t="s">
        <v>232</v>
      </c>
      <c r="B38" s="1"/>
      <c r="C38" s="1"/>
      <c r="D38" s="1"/>
      <c r="E38" s="1"/>
      <c r="F38" s="1"/>
      <c r="G38" s="1"/>
      <c r="H38" s="1"/>
      <c r="I38" s="1"/>
      <c r="J38" s="1"/>
      <c r="K38" s="156" t="s">
        <v>233</v>
      </c>
      <c r="L38" s="157"/>
    </row>
    <row r="39" spans="1:12" ht="20.25" customHeight="1" x14ac:dyDescent="0.25">
      <c r="A39" s="12"/>
      <c r="B39" s="75" t="s">
        <v>162</v>
      </c>
      <c r="C39" s="75" t="s">
        <v>96</v>
      </c>
      <c r="D39" s="75" t="s">
        <v>97</v>
      </c>
      <c r="E39" s="75" t="s">
        <v>98</v>
      </c>
      <c r="F39" s="75" t="s">
        <v>99</v>
      </c>
      <c r="G39" s="75" t="s">
        <v>100</v>
      </c>
      <c r="H39" s="75" t="s">
        <v>101</v>
      </c>
      <c r="I39" s="75" t="s">
        <v>102</v>
      </c>
      <c r="J39" s="75" t="s">
        <v>103</v>
      </c>
      <c r="K39" s="177"/>
      <c r="L39" s="177"/>
    </row>
    <row r="40" spans="1:12" ht="20.25" customHeight="1" x14ac:dyDescent="0.25">
      <c r="A40" s="28" t="s">
        <v>234</v>
      </c>
      <c r="B40" s="22">
        <f>SUM(B41:B44)</f>
        <v>0</v>
      </c>
      <c r="C40" s="22">
        <f t="shared" ref="C40:J40" si="3">SUM(C41:C44)</f>
        <v>0</v>
      </c>
      <c r="D40" s="22">
        <f t="shared" si="3"/>
        <v>0</v>
      </c>
      <c r="E40" s="22">
        <f t="shared" si="3"/>
        <v>0</v>
      </c>
      <c r="F40" s="22">
        <f t="shared" si="3"/>
        <v>0</v>
      </c>
      <c r="G40" s="22">
        <f t="shared" si="3"/>
        <v>0</v>
      </c>
      <c r="H40" s="22">
        <f t="shared" si="3"/>
        <v>0</v>
      </c>
      <c r="I40" s="22">
        <f t="shared" si="3"/>
        <v>0</v>
      </c>
      <c r="J40" s="22">
        <f t="shared" si="3"/>
        <v>0</v>
      </c>
      <c r="K40" s="178"/>
      <c r="L40" s="178"/>
    </row>
    <row r="41" spans="1:12" ht="20.25" customHeight="1" x14ac:dyDescent="0.25">
      <c r="A41" s="40" t="s">
        <v>235</v>
      </c>
      <c r="B41" s="1"/>
      <c r="C41" s="1"/>
      <c r="D41" s="1"/>
      <c r="E41" s="1"/>
      <c r="F41" s="1"/>
      <c r="G41" s="1"/>
      <c r="H41" s="1"/>
      <c r="I41" s="1"/>
      <c r="J41" s="1"/>
      <c r="K41" s="179" t="s">
        <v>236</v>
      </c>
      <c r="L41" s="180"/>
    </row>
    <row r="42" spans="1:12" ht="20.25" customHeight="1" x14ac:dyDescent="0.25">
      <c r="A42" s="40" t="s">
        <v>237</v>
      </c>
      <c r="B42" s="1"/>
      <c r="C42" s="1"/>
      <c r="D42" s="1"/>
      <c r="E42" s="1"/>
      <c r="F42" s="1"/>
      <c r="G42" s="1"/>
      <c r="H42" s="1"/>
      <c r="I42" s="1"/>
      <c r="J42" s="1"/>
      <c r="K42" s="179" t="s">
        <v>238</v>
      </c>
      <c r="L42" s="180"/>
    </row>
    <row r="43" spans="1:12" ht="20.25" customHeight="1" x14ac:dyDescent="0.25">
      <c r="A43" s="40" t="s">
        <v>239</v>
      </c>
      <c r="B43" s="1"/>
      <c r="C43" s="1"/>
      <c r="D43" s="1"/>
      <c r="E43" s="1"/>
      <c r="F43" s="1"/>
      <c r="G43" s="1"/>
      <c r="H43" s="1"/>
      <c r="I43" s="1"/>
      <c r="J43" s="1"/>
      <c r="K43" s="179" t="s">
        <v>240</v>
      </c>
      <c r="L43" s="180"/>
    </row>
    <row r="44" spans="1:12" ht="20.25" customHeight="1" x14ac:dyDescent="0.25">
      <c r="A44" s="40" t="s">
        <v>241</v>
      </c>
      <c r="B44" s="1"/>
      <c r="C44" s="1"/>
      <c r="D44" s="1"/>
      <c r="E44" s="1"/>
      <c r="F44" s="1"/>
      <c r="G44" s="1"/>
      <c r="H44" s="1"/>
      <c r="I44" s="1"/>
      <c r="J44" s="1"/>
      <c r="K44" s="156" t="s">
        <v>242</v>
      </c>
      <c r="L44" s="157"/>
    </row>
    <row r="45" spans="1:12" ht="20.25" customHeight="1" x14ac:dyDescent="0.25">
      <c r="A45" s="12"/>
      <c r="B45" s="75" t="s">
        <v>162</v>
      </c>
      <c r="C45" s="75" t="s">
        <v>96</v>
      </c>
      <c r="D45" s="75" t="s">
        <v>97</v>
      </c>
      <c r="E45" s="75" t="s">
        <v>98</v>
      </c>
      <c r="F45" s="75" t="s">
        <v>99</v>
      </c>
      <c r="G45" s="75" t="s">
        <v>100</v>
      </c>
      <c r="H45" s="75" t="s">
        <v>101</v>
      </c>
      <c r="I45" s="75" t="s">
        <v>102</v>
      </c>
      <c r="J45" s="75" t="s">
        <v>103</v>
      </c>
      <c r="K45" s="177"/>
      <c r="L45" s="177"/>
    </row>
    <row r="46" spans="1:12" ht="20.25" customHeight="1" x14ac:dyDescent="0.25">
      <c r="A46" s="28" t="s">
        <v>243</v>
      </c>
      <c r="B46" s="22">
        <f>SUM(B47:B50)</f>
        <v>0</v>
      </c>
      <c r="C46" s="22">
        <f t="shared" ref="C46:J46" si="4">SUM(C47:C50)</f>
        <v>0</v>
      </c>
      <c r="D46" s="22">
        <f t="shared" si="4"/>
        <v>0</v>
      </c>
      <c r="E46" s="22">
        <f t="shared" si="4"/>
        <v>0</v>
      </c>
      <c r="F46" s="22">
        <f t="shared" si="4"/>
        <v>0</v>
      </c>
      <c r="G46" s="22">
        <f t="shared" si="4"/>
        <v>0</v>
      </c>
      <c r="H46" s="22">
        <f t="shared" si="4"/>
        <v>0</v>
      </c>
      <c r="I46" s="22">
        <f t="shared" si="4"/>
        <v>0</v>
      </c>
      <c r="J46" s="22">
        <f t="shared" si="4"/>
        <v>0</v>
      </c>
      <c r="K46" s="178"/>
      <c r="L46" s="178"/>
    </row>
    <row r="47" spans="1:12" ht="20.25" customHeight="1" x14ac:dyDescent="0.25">
      <c r="A47" s="47" t="s">
        <v>244</v>
      </c>
      <c r="B47" s="1"/>
      <c r="C47" s="1"/>
      <c r="D47" s="1"/>
      <c r="E47" s="1"/>
      <c r="F47" s="1"/>
      <c r="G47" s="1"/>
      <c r="H47" s="1"/>
      <c r="I47" s="1"/>
      <c r="J47" s="1"/>
      <c r="K47" s="179" t="s">
        <v>245</v>
      </c>
      <c r="L47" s="180"/>
    </row>
    <row r="48" spans="1:12" ht="20.25" customHeight="1" x14ac:dyDescent="0.25">
      <c r="A48" s="47" t="s">
        <v>246</v>
      </c>
      <c r="B48" s="1"/>
      <c r="C48" s="1"/>
      <c r="D48" s="1"/>
      <c r="E48" s="1"/>
      <c r="F48" s="1"/>
      <c r="G48" s="1"/>
      <c r="H48" s="1"/>
      <c r="I48" s="1"/>
      <c r="J48" s="1"/>
      <c r="K48" s="179" t="s">
        <v>245</v>
      </c>
      <c r="L48" s="180"/>
    </row>
    <row r="49" spans="1:12" ht="20.25" customHeight="1" x14ac:dyDescent="0.25">
      <c r="A49" s="47" t="s">
        <v>247</v>
      </c>
      <c r="B49" s="1"/>
      <c r="C49" s="1"/>
      <c r="D49" s="1"/>
      <c r="E49" s="1"/>
      <c r="F49" s="1"/>
      <c r="G49" s="1"/>
      <c r="H49" s="1"/>
      <c r="I49" s="1"/>
      <c r="J49" s="1"/>
      <c r="K49" s="179" t="s">
        <v>245</v>
      </c>
      <c r="L49" s="180"/>
    </row>
    <row r="50" spans="1:12" ht="20.25" customHeight="1" x14ac:dyDescent="0.25">
      <c r="A50" s="47" t="s">
        <v>248</v>
      </c>
      <c r="B50" s="1"/>
      <c r="C50" s="1"/>
      <c r="D50" s="1"/>
      <c r="E50" s="1"/>
      <c r="F50" s="1"/>
      <c r="G50" s="1"/>
      <c r="H50" s="1"/>
      <c r="I50" s="1"/>
      <c r="J50" s="1"/>
      <c r="K50" s="156" t="s">
        <v>245</v>
      </c>
      <c r="L50" s="157"/>
    </row>
    <row r="51" spans="1:12" ht="20.25" customHeight="1" x14ac:dyDescent="0.25">
      <c r="A51" s="12"/>
      <c r="B51" s="10"/>
      <c r="C51" s="13"/>
      <c r="D51" s="13"/>
      <c r="E51" s="13"/>
      <c r="F51" s="13"/>
      <c r="G51" s="13"/>
      <c r="H51" s="13"/>
      <c r="I51" s="13"/>
      <c r="J51" s="13"/>
      <c r="K51" s="177"/>
      <c r="L51" s="177"/>
    </row>
    <row r="52" spans="1:12" ht="20.25" customHeight="1" x14ac:dyDescent="0.25">
      <c r="A52" s="42" t="s">
        <v>249</v>
      </c>
      <c r="B52" s="48">
        <f t="shared" ref="B52:J52" si="5">B8+B23+B40+B46</f>
        <v>0</v>
      </c>
      <c r="C52" s="48">
        <f t="shared" si="5"/>
        <v>0</v>
      </c>
      <c r="D52" s="48">
        <f t="shared" si="5"/>
        <v>0</v>
      </c>
      <c r="E52" s="48">
        <f t="shared" si="5"/>
        <v>0</v>
      </c>
      <c r="F52" s="48">
        <f t="shared" si="5"/>
        <v>0</v>
      </c>
      <c r="G52" s="48">
        <f t="shared" si="5"/>
        <v>0</v>
      </c>
      <c r="H52" s="48">
        <f t="shared" si="5"/>
        <v>0</v>
      </c>
      <c r="I52" s="48">
        <f t="shared" si="5"/>
        <v>0</v>
      </c>
      <c r="J52" s="48">
        <f t="shared" si="5"/>
        <v>0</v>
      </c>
      <c r="K52" s="178"/>
      <c r="L52" s="178"/>
    </row>
    <row r="53" spans="1:12" ht="20.25" customHeight="1" x14ac:dyDescent="0.25">
      <c r="B53" s="6"/>
      <c r="C53" s="6"/>
      <c r="D53" s="6"/>
      <c r="E53" s="6"/>
      <c r="F53" s="6"/>
      <c r="G53" s="6"/>
      <c r="H53" s="6"/>
      <c r="I53" s="6"/>
      <c r="J53" s="6"/>
      <c r="K53" s="177"/>
      <c r="L53" s="177"/>
    </row>
    <row r="54" spans="1:12" ht="20.25" customHeight="1" x14ac:dyDescent="0.35">
      <c r="A54" s="176" t="s">
        <v>250</v>
      </c>
      <c r="B54" s="176"/>
      <c r="C54" s="176"/>
      <c r="D54" s="176"/>
      <c r="E54" s="176"/>
      <c r="F54" s="176"/>
      <c r="G54" s="176"/>
      <c r="H54" s="176"/>
      <c r="I54" s="176"/>
      <c r="J54" s="176"/>
      <c r="K54" s="177"/>
      <c r="L54" s="177"/>
    </row>
    <row r="55" spans="1:12" ht="15" customHeight="1" x14ac:dyDescent="0.25">
      <c r="B55" s="6"/>
      <c r="C55" s="6"/>
      <c r="D55" s="6"/>
      <c r="E55" s="6"/>
      <c r="F55" s="6"/>
      <c r="G55" s="6"/>
      <c r="H55" s="6"/>
      <c r="I55" s="6"/>
      <c r="J55" s="6"/>
      <c r="K55" s="181"/>
      <c r="L55" s="181"/>
    </row>
    <row r="56" spans="1:12" ht="18.75" x14ac:dyDescent="0.25">
      <c r="A56" s="170" t="s">
        <v>251</v>
      </c>
      <c r="B56" s="170" t="s">
        <v>335</v>
      </c>
      <c r="C56" s="170"/>
      <c r="D56" s="170"/>
      <c r="E56" s="170"/>
      <c r="F56" s="170"/>
      <c r="G56" s="170"/>
      <c r="H56" s="170"/>
      <c r="I56" s="170"/>
      <c r="J56" s="170"/>
      <c r="K56" s="170" t="s">
        <v>188</v>
      </c>
      <c r="L56" s="170"/>
    </row>
    <row r="57" spans="1:12" ht="56.25" x14ac:dyDescent="0.25">
      <c r="A57" s="170"/>
      <c r="B57" s="25" t="s">
        <v>125</v>
      </c>
      <c r="C57" s="25" t="s">
        <v>96</v>
      </c>
      <c r="D57" s="25" t="s">
        <v>97</v>
      </c>
      <c r="E57" s="25" t="s">
        <v>98</v>
      </c>
      <c r="F57" s="25" t="s">
        <v>99</v>
      </c>
      <c r="G57" s="25" t="s">
        <v>100</v>
      </c>
      <c r="H57" s="25" t="s">
        <v>101</v>
      </c>
      <c r="I57" s="25" t="s">
        <v>102</v>
      </c>
      <c r="J57" s="25" t="s">
        <v>103</v>
      </c>
      <c r="K57" s="170"/>
      <c r="L57" s="170"/>
    </row>
    <row r="58" spans="1:12" ht="15" customHeight="1" x14ac:dyDescent="0.25">
      <c r="B58" s="6"/>
      <c r="C58" s="6"/>
      <c r="D58" s="6"/>
      <c r="E58" s="6"/>
      <c r="F58" s="6"/>
      <c r="G58" s="6"/>
      <c r="H58" s="6"/>
      <c r="I58" s="6"/>
      <c r="J58" s="6"/>
      <c r="K58" s="177"/>
      <c r="L58" s="177"/>
    </row>
    <row r="59" spans="1:12" ht="20.25" customHeight="1" x14ac:dyDescent="0.25">
      <c r="A59" s="28" t="s">
        <v>252</v>
      </c>
      <c r="B59" s="120">
        <f>B60</f>
        <v>0</v>
      </c>
      <c r="C59" s="120">
        <f t="shared" ref="C59:J59" si="6">C60</f>
        <v>0</v>
      </c>
      <c r="D59" s="120">
        <f t="shared" si="6"/>
        <v>0</v>
      </c>
      <c r="E59" s="120">
        <f t="shared" si="6"/>
        <v>0</v>
      </c>
      <c r="F59" s="120">
        <f t="shared" si="6"/>
        <v>0</v>
      </c>
      <c r="G59" s="120">
        <f t="shared" si="6"/>
        <v>0</v>
      </c>
      <c r="H59" s="120">
        <f t="shared" si="6"/>
        <v>0</v>
      </c>
      <c r="I59" s="120">
        <f t="shared" si="6"/>
        <v>0</v>
      </c>
      <c r="J59" s="120">
        <f t="shared" si="6"/>
        <v>0</v>
      </c>
      <c r="K59" s="182"/>
      <c r="L59" s="182"/>
    </row>
    <row r="60" spans="1:12" ht="20.25" customHeight="1" x14ac:dyDescent="0.25">
      <c r="A60" s="40" t="s">
        <v>253</v>
      </c>
      <c r="B60" s="123"/>
      <c r="C60" s="123">
        <f>'💡 Hypothèses'!$B$20*'💡 Hypothèses'!C34</f>
        <v>0</v>
      </c>
      <c r="D60" s="123">
        <f>'💡 Hypothèses'!$B$20*'💡 Hypothèses'!D34</f>
        <v>0</v>
      </c>
      <c r="E60" s="123">
        <f>'💡 Hypothèses'!$B$20*'💡 Hypothèses'!E34</f>
        <v>0</v>
      </c>
      <c r="F60" s="123">
        <f>'💡 Hypothèses'!$B$20*'💡 Hypothèses'!F34</f>
        <v>0</v>
      </c>
      <c r="G60" s="123">
        <f>'💡 Hypothèses'!$B$20*'💡 Hypothèses'!G34</f>
        <v>0</v>
      </c>
      <c r="H60" s="123">
        <f>'💡 Hypothèses'!$B$20*'💡 Hypothèses'!H34</f>
        <v>0</v>
      </c>
      <c r="I60" s="123">
        <f>'💡 Hypothèses'!$B$20*'💡 Hypothèses'!I34</f>
        <v>0</v>
      </c>
      <c r="J60" s="125">
        <f>'💡 Hypothèses'!$B$20*'💡 Hypothèses'!J34</f>
        <v>0</v>
      </c>
      <c r="K60" s="156" t="s">
        <v>254</v>
      </c>
      <c r="L60" s="157"/>
    </row>
    <row r="61" spans="1:12" ht="15" customHeight="1" x14ac:dyDescent="0.25">
      <c r="B61" s="75" t="s">
        <v>162</v>
      </c>
      <c r="C61" s="75" t="s">
        <v>96</v>
      </c>
      <c r="D61" s="75" t="s">
        <v>97</v>
      </c>
      <c r="E61" s="75" t="s">
        <v>98</v>
      </c>
      <c r="F61" s="75" t="s">
        <v>99</v>
      </c>
      <c r="G61" s="75" t="s">
        <v>100</v>
      </c>
      <c r="H61" s="75" t="s">
        <v>101</v>
      </c>
      <c r="I61" s="75" t="s">
        <v>102</v>
      </c>
      <c r="J61" s="75" t="s">
        <v>103</v>
      </c>
      <c r="K61" s="177"/>
      <c r="L61" s="177"/>
    </row>
    <row r="62" spans="1:12" ht="20.25" customHeight="1" x14ac:dyDescent="0.25">
      <c r="A62" s="28" t="s">
        <v>255</v>
      </c>
      <c r="B62" s="120">
        <f>B64</f>
        <v>0</v>
      </c>
      <c r="C62" s="120">
        <f t="shared" ref="C62:J62" si="7">C64</f>
        <v>0</v>
      </c>
      <c r="D62" s="120">
        <f t="shared" si="7"/>
        <v>0</v>
      </c>
      <c r="E62" s="120">
        <f t="shared" si="7"/>
        <v>0</v>
      </c>
      <c r="F62" s="120">
        <f t="shared" si="7"/>
        <v>0</v>
      </c>
      <c r="G62" s="120">
        <f t="shared" si="7"/>
        <v>0</v>
      </c>
      <c r="H62" s="120">
        <f t="shared" si="7"/>
        <v>0</v>
      </c>
      <c r="I62" s="120">
        <f t="shared" si="7"/>
        <v>0</v>
      </c>
      <c r="J62" s="120">
        <f t="shared" si="7"/>
        <v>0</v>
      </c>
      <c r="K62" s="178"/>
      <c r="L62" s="178"/>
    </row>
    <row r="63" spans="1:12" ht="20.25" customHeight="1" x14ac:dyDescent="0.25">
      <c r="A63" s="40" t="s">
        <v>256</v>
      </c>
      <c r="B63" s="123"/>
      <c r="C63" s="123">
        <f>'💡 Hypothèses'!$B$14*'💡 Hypothèses'!C30+'💡 Hypothèses'!$B$15*'💡 Hypothèses'!C31+'💡 Hypothèses'!$B$16*'💡 Hypothèses'!C32+'💡 Hypothèses'!$B$17*'💡 Hypothèses'!C33</f>
        <v>0</v>
      </c>
      <c r="D63" s="123">
        <f>'💡 Hypothèses'!$B$14*'💡 Hypothèses'!D30+'💡 Hypothèses'!$B$15*'💡 Hypothèses'!D31+'💡 Hypothèses'!$B$16*'💡 Hypothèses'!D32+'💡 Hypothèses'!$B$17*'💡 Hypothèses'!D33</f>
        <v>0</v>
      </c>
      <c r="E63" s="123">
        <f>'💡 Hypothèses'!$B$14*'💡 Hypothèses'!E30+'💡 Hypothèses'!$B$15*'💡 Hypothèses'!E31+'💡 Hypothèses'!$B$16*'💡 Hypothèses'!E32+'💡 Hypothèses'!$B$17*'💡 Hypothèses'!E33</f>
        <v>0</v>
      </c>
      <c r="F63" s="123">
        <f>'💡 Hypothèses'!$B$14*'💡 Hypothèses'!F30+'💡 Hypothèses'!$B$15*'💡 Hypothèses'!F31+'💡 Hypothèses'!$B$16*'💡 Hypothèses'!F32+'💡 Hypothèses'!$B$17*'💡 Hypothèses'!F33</f>
        <v>0</v>
      </c>
      <c r="G63" s="123">
        <f>'💡 Hypothèses'!$B$14*'💡 Hypothèses'!G30+'💡 Hypothèses'!$B$15*'💡 Hypothèses'!G31+'💡 Hypothèses'!$B$16*'💡 Hypothèses'!G32+'💡 Hypothèses'!$B$17*'💡 Hypothèses'!G33</f>
        <v>0</v>
      </c>
      <c r="H63" s="123">
        <f>'💡 Hypothèses'!$B$14*'💡 Hypothèses'!H30+'💡 Hypothèses'!$B$15*'💡 Hypothèses'!H31+'💡 Hypothèses'!$B$16*'💡 Hypothèses'!H32+'💡 Hypothèses'!$B$17*'💡 Hypothèses'!H33</f>
        <v>0</v>
      </c>
      <c r="I63" s="123">
        <f>'💡 Hypothèses'!$B$14*'💡 Hypothèses'!I30+'💡 Hypothèses'!$B$15*'💡 Hypothèses'!I31+'💡 Hypothèses'!$B$16*'💡 Hypothèses'!I32+'💡 Hypothèses'!$B$17*'💡 Hypothèses'!I33</f>
        <v>0</v>
      </c>
      <c r="J63" s="123">
        <f>'💡 Hypothèses'!$B$14*'💡 Hypothèses'!J30+'💡 Hypothèses'!$B$15*'💡 Hypothèses'!J31+'💡 Hypothèses'!$B$16*'💡 Hypothèses'!J32+'💡 Hypothèses'!$B$17*'💡 Hypothèses'!J33</f>
        <v>0</v>
      </c>
      <c r="K63" s="179" t="s">
        <v>257</v>
      </c>
      <c r="L63" s="180"/>
    </row>
    <row r="64" spans="1:12" ht="20.25" customHeight="1" x14ac:dyDescent="0.25">
      <c r="A64" s="40" t="s">
        <v>258</v>
      </c>
      <c r="B64" s="123"/>
      <c r="C64" s="124">
        <f>C63*'💡 Hypothèses'!$B$18</f>
        <v>0</v>
      </c>
      <c r="D64" s="124">
        <f>D63*'💡 Hypothèses'!$B$18</f>
        <v>0</v>
      </c>
      <c r="E64" s="124">
        <f>E63*'💡 Hypothèses'!$B$18</f>
        <v>0</v>
      </c>
      <c r="F64" s="124">
        <f>F63*'💡 Hypothèses'!$B$18</f>
        <v>0</v>
      </c>
      <c r="G64" s="124">
        <f>G63*'💡 Hypothèses'!$B$18</f>
        <v>0</v>
      </c>
      <c r="H64" s="124">
        <f>H63*'💡 Hypothèses'!$B$18</f>
        <v>0</v>
      </c>
      <c r="I64" s="124">
        <f>I63*'💡 Hypothèses'!$B$18</f>
        <v>0</v>
      </c>
      <c r="J64" s="124">
        <f>J63*'💡 Hypothèses'!$B$18</f>
        <v>0</v>
      </c>
      <c r="K64" s="178"/>
      <c r="L64" s="178"/>
    </row>
    <row r="65" spans="1:12" ht="15" customHeight="1" x14ac:dyDescent="0.25">
      <c r="B65" s="75" t="s">
        <v>162</v>
      </c>
      <c r="C65" s="75" t="s">
        <v>96</v>
      </c>
      <c r="D65" s="75" t="s">
        <v>97</v>
      </c>
      <c r="E65" s="75" t="s">
        <v>98</v>
      </c>
      <c r="F65" s="75" t="s">
        <v>99</v>
      </c>
      <c r="G65" s="75" t="s">
        <v>100</v>
      </c>
      <c r="H65" s="75" t="s">
        <v>101</v>
      </c>
      <c r="I65" s="75" t="s">
        <v>102</v>
      </c>
      <c r="J65" s="75" t="s">
        <v>103</v>
      </c>
      <c r="K65" s="177"/>
      <c r="L65" s="177"/>
    </row>
    <row r="66" spans="1:12" ht="20.25" customHeight="1" x14ac:dyDescent="0.25">
      <c r="A66" s="28" t="s">
        <v>259</v>
      </c>
      <c r="B66" s="120">
        <f>SUM(B67:B71)</f>
        <v>0</v>
      </c>
      <c r="C66" s="120">
        <f t="shared" ref="C66:J66" si="8">SUM(C67:C71)</f>
        <v>0</v>
      </c>
      <c r="D66" s="120">
        <f t="shared" si="8"/>
        <v>0</v>
      </c>
      <c r="E66" s="120">
        <f t="shared" si="8"/>
        <v>0</v>
      </c>
      <c r="F66" s="120">
        <f t="shared" si="8"/>
        <v>0</v>
      </c>
      <c r="G66" s="120">
        <f t="shared" si="8"/>
        <v>0</v>
      </c>
      <c r="H66" s="120">
        <f t="shared" si="8"/>
        <v>0</v>
      </c>
      <c r="I66" s="120">
        <f t="shared" si="8"/>
        <v>0</v>
      </c>
      <c r="J66" s="120">
        <f t="shared" si="8"/>
        <v>0</v>
      </c>
      <c r="K66" s="178"/>
      <c r="L66" s="178"/>
    </row>
    <row r="67" spans="1:12" ht="20.25" customHeight="1" x14ac:dyDescent="0.25">
      <c r="A67" s="40" t="s">
        <v>260</v>
      </c>
      <c r="B67" s="123"/>
      <c r="C67" s="123">
        <f>'💡 Hypothèses'!$B$22*'💡 Hypothèses'!C34</f>
        <v>0</v>
      </c>
      <c r="D67" s="123">
        <f>'💡 Hypothèses'!$B$22*'💡 Hypothèses'!D34</f>
        <v>0</v>
      </c>
      <c r="E67" s="123">
        <f>'💡 Hypothèses'!$B$22*'💡 Hypothèses'!E34</f>
        <v>0</v>
      </c>
      <c r="F67" s="123">
        <f>'💡 Hypothèses'!$B$22*'💡 Hypothèses'!F34</f>
        <v>0</v>
      </c>
      <c r="G67" s="123">
        <f>'💡 Hypothèses'!$B$22*'💡 Hypothèses'!G34</f>
        <v>0</v>
      </c>
      <c r="H67" s="123">
        <f>'💡 Hypothèses'!$B$22*'💡 Hypothèses'!H34</f>
        <v>0</v>
      </c>
      <c r="I67" s="123">
        <f>'💡 Hypothèses'!$B$22*'💡 Hypothèses'!I34</f>
        <v>0</v>
      </c>
      <c r="J67" s="123">
        <f>'💡 Hypothèses'!$B$22*'💡 Hypothèses'!J34</f>
        <v>0</v>
      </c>
      <c r="K67" s="179" t="s">
        <v>261</v>
      </c>
      <c r="L67" s="180"/>
    </row>
    <row r="68" spans="1:12" ht="20.25" customHeight="1" x14ac:dyDescent="0.25">
      <c r="A68" s="40" t="s">
        <v>262</v>
      </c>
      <c r="B68" s="123"/>
      <c r="C68" s="123">
        <f>'💡 Hypothèses'!$B$21*'💡 Hypothèses'!C34</f>
        <v>0</v>
      </c>
      <c r="D68" s="123">
        <f>'💡 Hypothèses'!$B$21*'💡 Hypothèses'!D34</f>
        <v>0</v>
      </c>
      <c r="E68" s="123">
        <f>'💡 Hypothèses'!$B$21*'💡 Hypothèses'!E34</f>
        <v>0</v>
      </c>
      <c r="F68" s="123">
        <f>'💡 Hypothèses'!$B$21*'💡 Hypothèses'!F34</f>
        <v>0</v>
      </c>
      <c r="G68" s="123">
        <f>'💡 Hypothèses'!$B$21*'💡 Hypothèses'!G34</f>
        <v>0</v>
      </c>
      <c r="H68" s="123">
        <f>'💡 Hypothèses'!$B$21*'💡 Hypothèses'!H34</f>
        <v>0</v>
      </c>
      <c r="I68" s="123">
        <f>'💡 Hypothèses'!$B$21*'💡 Hypothèses'!I34</f>
        <v>0</v>
      </c>
      <c r="J68" s="123">
        <f>'💡 Hypothèses'!$B$21*'💡 Hypothèses'!J34</f>
        <v>0</v>
      </c>
      <c r="K68" s="179" t="s">
        <v>263</v>
      </c>
      <c r="L68" s="180"/>
    </row>
    <row r="69" spans="1:12" ht="20.25" customHeight="1" x14ac:dyDescent="0.25">
      <c r="A69" s="40" t="s">
        <v>264</v>
      </c>
      <c r="B69" s="1"/>
      <c r="C69" s="1"/>
      <c r="D69" s="1"/>
      <c r="E69" s="1"/>
      <c r="F69" s="1"/>
      <c r="G69" s="1"/>
      <c r="H69" s="1"/>
      <c r="I69" s="1"/>
      <c r="J69" s="1"/>
      <c r="K69" s="179" t="s">
        <v>265</v>
      </c>
      <c r="L69" s="180"/>
    </row>
    <row r="70" spans="1:12" ht="20.25" customHeight="1" x14ac:dyDescent="0.25">
      <c r="A70" s="40" t="s">
        <v>266</v>
      </c>
      <c r="B70" s="1"/>
      <c r="C70" s="1"/>
      <c r="D70" s="1"/>
      <c r="E70" s="1"/>
      <c r="F70" s="1"/>
      <c r="G70" s="1"/>
      <c r="H70" s="1"/>
      <c r="I70" s="1"/>
      <c r="J70" s="1"/>
      <c r="K70" s="179" t="s">
        <v>267</v>
      </c>
      <c r="L70" s="180"/>
    </row>
    <row r="71" spans="1:12" ht="20.25" customHeight="1" x14ac:dyDescent="0.25">
      <c r="A71" s="40" t="s">
        <v>268</v>
      </c>
      <c r="B71" s="1"/>
      <c r="C71" s="1"/>
      <c r="D71" s="1"/>
      <c r="E71" s="1"/>
      <c r="F71" s="1"/>
      <c r="G71" s="1"/>
      <c r="H71" s="1"/>
      <c r="I71" s="1"/>
      <c r="J71" s="1"/>
      <c r="K71" s="179" t="s">
        <v>269</v>
      </c>
      <c r="L71" s="180"/>
    </row>
    <row r="72" spans="1:12" ht="15" customHeight="1" x14ac:dyDescent="0.25">
      <c r="B72" s="75" t="s">
        <v>162</v>
      </c>
      <c r="C72" s="75" t="s">
        <v>96</v>
      </c>
      <c r="D72" s="75" t="s">
        <v>97</v>
      </c>
      <c r="E72" s="75" t="s">
        <v>98</v>
      </c>
      <c r="F72" s="75" t="s">
        <v>99</v>
      </c>
      <c r="G72" s="75" t="s">
        <v>100</v>
      </c>
      <c r="H72" s="75" t="s">
        <v>101</v>
      </c>
      <c r="I72" s="75" t="s">
        <v>102</v>
      </c>
      <c r="J72" s="75" t="s">
        <v>103</v>
      </c>
      <c r="K72" s="177"/>
      <c r="L72" s="177"/>
    </row>
    <row r="73" spans="1:12" ht="20.25" customHeight="1" x14ac:dyDescent="0.25">
      <c r="A73" s="28" t="s">
        <v>270</v>
      </c>
      <c r="B73" s="120">
        <f>SUM(B74:B78)</f>
        <v>0</v>
      </c>
      <c r="C73" s="120">
        <f t="shared" ref="C73:J73" si="9">SUM(C74:C78)</f>
        <v>0</v>
      </c>
      <c r="D73" s="120">
        <f t="shared" si="9"/>
        <v>0</v>
      </c>
      <c r="E73" s="120">
        <f t="shared" si="9"/>
        <v>0</v>
      </c>
      <c r="F73" s="120">
        <f t="shared" si="9"/>
        <v>0</v>
      </c>
      <c r="G73" s="120">
        <f t="shared" si="9"/>
        <v>0</v>
      </c>
      <c r="H73" s="120">
        <f t="shared" si="9"/>
        <v>0</v>
      </c>
      <c r="I73" s="120">
        <f t="shared" si="9"/>
        <v>0</v>
      </c>
      <c r="J73" s="120">
        <f t="shared" si="9"/>
        <v>0</v>
      </c>
      <c r="K73" s="178"/>
      <c r="L73" s="178"/>
    </row>
    <row r="74" spans="1:12" ht="20.25" customHeight="1" x14ac:dyDescent="0.25">
      <c r="A74" s="40" t="s">
        <v>271</v>
      </c>
      <c r="B74" s="1"/>
      <c r="C74" s="1"/>
      <c r="D74" s="1"/>
      <c r="E74" s="1"/>
      <c r="F74" s="1"/>
      <c r="G74" s="1"/>
      <c r="H74" s="1"/>
      <c r="I74" s="1"/>
      <c r="J74" s="1"/>
      <c r="K74" s="179" t="s">
        <v>272</v>
      </c>
      <c r="L74" s="180"/>
    </row>
    <row r="75" spans="1:12" ht="20.25" customHeight="1" x14ac:dyDescent="0.25">
      <c r="A75" s="40" t="s">
        <v>273</v>
      </c>
      <c r="B75" s="1"/>
      <c r="C75" s="1"/>
      <c r="D75" s="1"/>
      <c r="E75" s="1"/>
      <c r="F75" s="1"/>
      <c r="G75" s="1"/>
      <c r="H75" s="1"/>
      <c r="I75" s="1"/>
      <c r="J75" s="1"/>
      <c r="K75" s="179" t="s">
        <v>274</v>
      </c>
      <c r="L75" s="180"/>
    </row>
    <row r="76" spans="1:12" ht="20.25" customHeight="1" x14ac:dyDescent="0.25">
      <c r="A76" s="40" t="s">
        <v>275</v>
      </c>
      <c r="B76" s="1"/>
      <c r="C76" s="1"/>
      <c r="D76" s="1"/>
      <c r="E76" s="1"/>
      <c r="F76" s="1"/>
      <c r="G76" s="1"/>
      <c r="H76" s="1"/>
      <c r="I76" s="1"/>
      <c r="J76" s="1"/>
      <c r="K76" s="179" t="s">
        <v>276</v>
      </c>
      <c r="L76" s="180"/>
    </row>
    <row r="77" spans="1:12" ht="20.25" customHeight="1" x14ac:dyDescent="0.25">
      <c r="A77" s="40" t="s">
        <v>277</v>
      </c>
      <c r="B77" s="1"/>
      <c r="C77" s="1"/>
      <c r="D77" s="1"/>
      <c r="E77" s="1"/>
      <c r="F77" s="1"/>
      <c r="G77" s="1"/>
      <c r="H77" s="1"/>
      <c r="I77" s="1"/>
      <c r="J77" s="1"/>
      <c r="K77" s="179" t="s">
        <v>278</v>
      </c>
      <c r="L77" s="180"/>
    </row>
    <row r="78" spans="1:12" ht="20.25" customHeight="1" x14ac:dyDescent="0.25">
      <c r="A78" s="40" t="s">
        <v>279</v>
      </c>
      <c r="B78" s="120">
        <f t="shared" ref="B78:J78" si="10">B12/2</f>
        <v>0</v>
      </c>
      <c r="C78" s="120">
        <f t="shared" si="10"/>
        <v>0</v>
      </c>
      <c r="D78" s="120">
        <f t="shared" si="10"/>
        <v>0</v>
      </c>
      <c r="E78" s="120">
        <f t="shared" si="10"/>
        <v>0</v>
      </c>
      <c r="F78" s="120">
        <f t="shared" si="10"/>
        <v>0</v>
      </c>
      <c r="G78" s="120">
        <f t="shared" si="10"/>
        <v>0</v>
      </c>
      <c r="H78" s="120">
        <f t="shared" si="10"/>
        <v>0</v>
      </c>
      <c r="I78" s="120">
        <f t="shared" si="10"/>
        <v>0</v>
      </c>
      <c r="J78" s="122">
        <f t="shared" si="10"/>
        <v>0</v>
      </c>
      <c r="K78" s="156" t="s">
        <v>280</v>
      </c>
      <c r="L78" s="157"/>
    </row>
    <row r="79" spans="1:12" ht="15" customHeight="1" x14ac:dyDescent="0.25">
      <c r="B79" s="6"/>
      <c r="C79" s="6"/>
      <c r="D79" s="6"/>
      <c r="E79" s="6"/>
      <c r="F79" s="6"/>
      <c r="G79" s="6"/>
      <c r="H79" s="6"/>
      <c r="I79" s="6"/>
      <c r="J79" s="6"/>
      <c r="K79" s="177"/>
      <c r="L79" s="177"/>
    </row>
    <row r="80" spans="1:12" ht="20.25" customHeight="1" x14ac:dyDescent="0.25">
      <c r="A80" s="42" t="s">
        <v>281</v>
      </c>
      <c r="B80" s="115">
        <f t="shared" ref="B80:J80" si="11">B59+B62+B66+B73</f>
        <v>0</v>
      </c>
      <c r="C80" s="115">
        <f t="shared" si="11"/>
        <v>0</v>
      </c>
      <c r="D80" s="115">
        <f t="shared" si="11"/>
        <v>0</v>
      </c>
      <c r="E80" s="115">
        <f t="shared" si="11"/>
        <v>0</v>
      </c>
      <c r="F80" s="115">
        <f t="shared" si="11"/>
        <v>0</v>
      </c>
      <c r="G80" s="115">
        <f t="shared" si="11"/>
        <v>0</v>
      </c>
      <c r="H80" s="115">
        <f t="shared" si="11"/>
        <v>0</v>
      </c>
      <c r="I80" s="115">
        <f t="shared" si="11"/>
        <v>0</v>
      </c>
      <c r="J80" s="116">
        <f t="shared" si="11"/>
        <v>0</v>
      </c>
      <c r="K80" s="157"/>
      <c r="L80" s="157"/>
    </row>
    <row r="81" spans="1:12" ht="15" customHeight="1" x14ac:dyDescent="0.25">
      <c r="B81" s="117"/>
      <c r="C81" s="117"/>
      <c r="D81" s="117"/>
      <c r="E81" s="117"/>
      <c r="F81" s="117"/>
      <c r="G81" s="117"/>
      <c r="H81" s="117"/>
      <c r="I81" s="117"/>
      <c r="J81" s="117"/>
      <c r="K81" s="177"/>
      <c r="L81" s="177"/>
    </row>
    <row r="82" spans="1:12" ht="20.25" customHeight="1" x14ac:dyDescent="0.25">
      <c r="A82" s="45" t="s">
        <v>282</v>
      </c>
      <c r="B82" s="118">
        <f t="shared" ref="B82:J82" si="12">B80-B52</f>
        <v>0</v>
      </c>
      <c r="C82" s="118">
        <f t="shared" si="12"/>
        <v>0</v>
      </c>
      <c r="D82" s="118">
        <f t="shared" si="12"/>
        <v>0</v>
      </c>
      <c r="E82" s="118">
        <f t="shared" si="12"/>
        <v>0</v>
      </c>
      <c r="F82" s="118">
        <f t="shared" si="12"/>
        <v>0</v>
      </c>
      <c r="G82" s="118">
        <f t="shared" si="12"/>
        <v>0</v>
      </c>
      <c r="H82" s="118">
        <f t="shared" si="12"/>
        <v>0</v>
      </c>
      <c r="I82" s="118">
        <f t="shared" si="12"/>
        <v>0</v>
      </c>
      <c r="J82" s="119">
        <f t="shared" si="12"/>
        <v>0</v>
      </c>
      <c r="K82" s="183"/>
      <c r="L82" s="183"/>
    </row>
    <row r="83" spans="1:12" ht="15" customHeight="1" x14ac:dyDescent="0.25">
      <c r="B83" s="117"/>
      <c r="C83" s="117"/>
      <c r="D83" s="117"/>
      <c r="E83" s="117"/>
      <c r="F83" s="117"/>
      <c r="G83" s="117"/>
      <c r="H83" s="117"/>
      <c r="I83" s="117"/>
      <c r="J83" s="117"/>
      <c r="K83" s="181"/>
      <c r="L83" s="181"/>
    </row>
    <row r="84" spans="1:12" ht="20.25" customHeight="1" x14ac:dyDescent="0.25">
      <c r="A84" s="42" t="s">
        <v>283</v>
      </c>
      <c r="B84" s="115">
        <f>B82</f>
        <v>0</v>
      </c>
      <c r="C84" s="115">
        <f>B84+C82</f>
        <v>0</v>
      </c>
      <c r="D84" s="115">
        <f t="shared" ref="D84:I84" si="13">C84+D82</f>
        <v>0</v>
      </c>
      <c r="E84" s="115">
        <f t="shared" si="13"/>
        <v>0</v>
      </c>
      <c r="F84" s="115">
        <f t="shared" si="13"/>
        <v>0</v>
      </c>
      <c r="G84" s="115">
        <f t="shared" si="13"/>
        <v>0</v>
      </c>
      <c r="H84" s="115">
        <f t="shared" si="13"/>
        <v>0</v>
      </c>
      <c r="I84" s="115">
        <f t="shared" si="13"/>
        <v>0</v>
      </c>
      <c r="J84" s="116">
        <f>I84+J82</f>
        <v>0</v>
      </c>
      <c r="K84" s="183"/>
      <c r="L84" s="183"/>
    </row>
    <row r="85" spans="1:12" x14ac:dyDescent="0.25">
      <c r="K85" s="181"/>
      <c r="L85" s="181"/>
    </row>
    <row r="86" spans="1:12" x14ac:dyDescent="0.25">
      <c r="K86" s="181"/>
      <c r="L86" s="181"/>
    </row>
    <row r="87" spans="1:12" x14ac:dyDescent="0.25">
      <c r="K87" s="181"/>
      <c r="L87" s="181"/>
    </row>
    <row r="88" spans="1:12" x14ac:dyDescent="0.25">
      <c r="K88" s="181"/>
      <c r="L88" s="181"/>
    </row>
    <row r="89" spans="1:12" x14ac:dyDescent="0.25">
      <c r="K89" s="181"/>
      <c r="L89" s="181"/>
    </row>
    <row r="90" spans="1:12" x14ac:dyDescent="0.25">
      <c r="K90" s="181"/>
      <c r="L90" s="181"/>
    </row>
    <row r="91" spans="1:12" x14ac:dyDescent="0.25">
      <c r="K91" s="181"/>
      <c r="L91" s="181"/>
    </row>
    <row r="92" spans="1:12" x14ac:dyDescent="0.25">
      <c r="K92" s="181"/>
      <c r="L92" s="181"/>
    </row>
    <row r="93" spans="1:12" x14ac:dyDescent="0.25">
      <c r="K93" s="181"/>
      <c r="L93" s="181"/>
    </row>
    <row r="94" spans="1:12" x14ac:dyDescent="0.25">
      <c r="K94" s="181"/>
      <c r="L94" s="181"/>
    </row>
    <row r="95" spans="1:12" x14ac:dyDescent="0.25">
      <c r="K95" s="181"/>
      <c r="L95" s="181"/>
    </row>
    <row r="96" spans="1:12" x14ac:dyDescent="0.25">
      <c r="K96" s="181"/>
      <c r="L96" s="181"/>
    </row>
    <row r="97" spans="11:12" x14ac:dyDescent="0.25">
      <c r="K97" s="181"/>
      <c r="L97" s="181"/>
    </row>
    <row r="98" spans="11:12" x14ac:dyDescent="0.25">
      <c r="K98" s="181"/>
      <c r="L98" s="181"/>
    </row>
    <row r="99" spans="11:12" x14ac:dyDescent="0.25">
      <c r="K99" s="181"/>
      <c r="L99" s="181"/>
    </row>
    <row r="100" spans="11:12" x14ac:dyDescent="0.25">
      <c r="K100" s="181"/>
      <c r="L100" s="181"/>
    </row>
    <row r="101" spans="11:12" x14ac:dyDescent="0.25">
      <c r="K101" s="181"/>
      <c r="L101" s="181"/>
    </row>
    <row r="102" spans="11:12" x14ac:dyDescent="0.25">
      <c r="K102" s="181"/>
      <c r="L102" s="181"/>
    </row>
    <row r="103" spans="11:12" x14ac:dyDescent="0.25">
      <c r="K103" s="181"/>
      <c r="L103" s="181"/>
    </row>
    <row r="104" spans="11:12" x14ac:dyDescent="0.25">
      <c r="K104" s="181"/>
      <c r="L104" s="181"/>
    </row>
    <row r="105" spans="11:12" x14ac:dyDescent="0.25">
      <c r="K105" s="181"/>
      <c r="L105" s="181"/>
    </row>
    <row r="106" spans="11:12" x14ac:dyDescent="0.25">
      <c r="K106" s="181"/>
      <c r="L106" s="181"/>
    </row>
    <row r="107" spans="11:12" x14ac:dyDescent="0.25">
      <c r="K107" s="181"/>
      <c r="L107" s="181"/>
    </row>
    <row r="108" spans="11:12" x14ac:dyDescent="0.25">
      <c r="K108" s="181"/>
      <c r="L108" s="181"/>
    </row>
    <row r="109" spans="11:12" x14ac:dyDescent="0.25">
      <c r="K109" s="181"/>
      <c r="L109" s="181"/>
    </row>
    <row r="110" spans="11:12" x14ac:dyDescent="0.25">
      <c r="K110" s="181"/>
      <c r="L110" s="181"/>
    </row>
    <row r="111" spans="11:12" x14ac:dyDescent="0.25">
      <c r="K111" s="181"/>
      <c r="L111" s="181"/>
    </row>
    <row r="112" spans="11:12" x14ac:dyDescent="0.25">
      <c r="K112" s="181"/>
      <c r="L112" s="181"/>
    </row>
    <row r="113" spans="11:12" x14ac:dyDescent="0.25">
      <c r="K113" s="181"/>
      <c r="L113" s="181"/>
    </row>
    <row r="114" spans="11:12" x14ac:dyDescent="0.25">
      <c r="K114" s="181"/>
      <c r="L114" s="181"/>
    </row>
    <row r="115" spans="11:12" x14ac:dyDescent="0.25">
      <c r="K115" s="181"/>
      <c r="L115" s="181"/>
    </row>
    <row r="116" spans="11:12" x14ac:dyDescent="0.25">
      <c r="K116" s="181"/>
      <c r="L116" s="181"/>
    </row>
    <row r="117" spans="11:12" x14ac:dyDescent="0.25">
      <c r="K117" s="181"/>
      <c r="L117" s="181"/>
    </row>
    <row r="118" spans="11:12" x14ac:dyDescent="0.25">
      <c r="K118" s="181"/>
      <c r="L118" s="181"/>
    </row>
    <row r="119" spans="11:12" x14ac:dyDescent="0.25">
      <c r="K119" s="181"/>
      <c r="L119" s="181"/>
    </row>
    <row r="120" spans="11:12" x14ac:dyDescent="0.25">
      <c r="K120" s="181"/>
      <c r="L120" s="181"/>
    </row>
    <row r="121" spans="11:12" x14ac:dyDescent="0.25">
      <c r="K121" s="181"/>
      <c r="L121" s="181"/>
    </row>
    <row r="122" spans="11:12" x14ac:dyDescent="0.25">
      <c r="K122" s="181"/>
      <c r="L122" s="181"/>
    </row>
    <row r="123" spans="11:12" x14ac:dyDescent="0.25">
      <c r="K123" s="181"/>
      <c r="L123" s="181"/>
    </row>
    <row r="124" spans="11:12" x14ac:dyDescent="0.25">
      <c r="K124" s="181"/>
      <c r="L124" s="181"/>
    </row>
  </sheetData>
  <sheetProtection sheet="1" objects="1" scenarios="1" selectLockedCells="1"/>
  <mergeCells count="126">
    <mergeCell ref="A5:A6"/>
    <mergeCell ref="K5:L6"/>
    <mergeCell ref="A56:A57"/>
    <mergeCell ref="K56:L57"/>
    <mergeCell ref="K120:L120"/>
    <mergeCell ref="K121:L121"/>
    <mergeCell ref="K98:L98"/>
    <mergeCell ref="K99:L99"/>
    <mergeCell ref="K100:L100"/>
    <mergeCell ref="K101:L101"/>
    <mergeCell ref="K90:L90"/>
    <mergeCell ref="K91:L91"/>
    <mergeCell ref="K92:L92"/>
    <mergeCell ref="K93:L93"/>
    <mergeCell ref="K94:L94"/>
    <mergeCell ref="K95:L95"/>
    <mergeCell ref="K84:L84"/>
    <mergeCell ref="K85:L85"/>
    <mergeCell ref="K86:L86"/>
    <mergeCell ref="K87:L87"/>
    <mergeCell ref="K88:L88"/>
    <mergeCell ref="K89:L89"/>
    <mergeCell ref="K79:L79"/>
    <mergeCell ref="K80:L80"/>
    <mergeCell ref="K122:L122"/>
    <mergeCell ref="K123:L123"/>
    <mergeCell ref="K124:L124"/>
    <mergeCell ref="K7:L7"/>
    <mergeCell ref="K114:L114"/>
    <mergeCell ref="K115:L115"/>
    <mergeCell ref="K116:L116"/>
    <mergeCell ref="K117:L117"/>
    <mergeCell ref="K118:L118"/>
    <mergeCell ref="K119:L119"/>
    <mergeCell ref="K108:L108"/>
    <mergeCell ref="K109:L109"/>
    <mergeCell ref="K110:L110"/>
    <mergeCell ref="K111:L111"/>
    <mergeCell ref="K112:L112"/>
    <mergeCell ref="K113:L113"/>
    <mergeCell ref="K102:L102"/>
    <mergeCell ref="K103:L103"/>
    <mergeCell ref="K104:L104"/>
    <mergeCell ref="K105:L105"/>
    <mergeCell ref="K106:L106"/>
    <mergeCell ref="K107:L107"/>
    <mergeCell ref="K96:L96"/>
    <mergeCell ref="K97:L97"/>
    <mergeCell ref="K81:L81"/>
    <mergeCell ref="K82:L82"/>
    <mergeCell ref="K83:L83"/>
    <mergeCell ref="K73:L73"/>
    <mergeCell ref="K74:L74"/>
    <mergeCell ref="K75:L75"/>
    <mergeCell ref="K76:L76"/>
    <mergeCell ref="K77:L77"/>
    <mergeCell ref="K78:L78"/>
    <mergeCell ref="K67:L67"/>
    <mergeCell ref="K68:L68"/>
    <mergeCell ref="K69:L69"/>
    <mergeCell ref="K70:L70"/>
    <mergeCell ref="K71:L71"/>
    <mergeCell ref="K72:L72"/>
    <mergeCell ref="K61:L61"/>
    <mergeCell ref="K62:L62"/>
    <mergeCell ref="K63:L63"/>
    <mergeCell ref="K64:L64"/>
    <mergeCell ref="K65:L65"/>
    <mergeCell ref="K66:L66"/>
    <mergeCell ref="K55:L55"/>
    <mergeCell ref="K58:L58"/>
    <mergeCell ref="K59:L59"/>
    <mergeCell ref="K60:L60"/>
    <mergeCell ref="K46:L46"/>
    <mergeCell ref="K51:L51"/>
    <mergeCell ref="K52:L52"/>
    <mergeCell ref="K53:L53"/>
    <mergeCell ref="K40:L40"/>
    <mergeCell ref="K41:L41"/>
    <mergeCell ref="K42:L42"/>
    <mergeCell ref="K43:L43"/>
    <mergeCell ref="K44:L44"/>
    <mergeCell ref="K45:L45"/>
    <mergeCell ref="K48:L48"/>
    <mergeCell ref="K47:L47"/>
    <mergeCell ref="K50:L50"/>
    <mergeCell ref="K49:L49"/>
    <mergeCell ref="K17:L17"/>
    <mergeCell ref="K18:L18"/>
    <mergeCell ref="K33:L33"/>
    <mergeCell ref="K34:L34"/>
    <mergeCell ref="K35:L35"/>
    <mergeCell ref="K36:L36"/>
    <mergeCell ref="K37:L37"/>
    <mergeCell ref="K39:L39"/>
    <mergeCell ref="K25:L25"/>
    <mergeCell ref="K27:L27"/>
    <mergeCell ref="K29:L29"/>
    <mergeCell ref="K30:L30"/>
    <mergeCell ref="K31:L31"/>
    <mergeCell ref="K32:L32"/>
    <mergeCell ref="K26:L26"/>
    <mergeCell ref="A1:J1"/>
    <mergeCell ref="A3:J3"/>
    <mergeCell ref="A54:J54"/>
    <mergeCell ref="K54:L54"/>
    <mergeCell ref="K3:L3"/>
    <mergeCell ref="B5:J5"/>
    <mergeCell ref="B56:J56"/>
    <mergeCell ref="K8:L8"/>
    <mergeCell ref="K9:L9"/>
    <mergeCell ref="K10:L10"/>
    <mergeCell ref="K11:L11"/>
    <mergeCell ref="K12:L12"/>
    <mergeCell ref="K28:L28"/>
    <mergeCell ref="K38:L38"/>
    <mergeCell ref="K19:L19"/>
    <mergeCell ref="K20:L20"/>
    <mergeCell ref="K21:L21"/>
    <mergeCell ref="K22:L22"/>
    <mergeCell ref="K23:L23"/>
    <mergeCell ref="K24:L24"/>
    <mergeCell ref="K13:L13"/>
    <mergeCell ref="K14:L14"/>
    <mergeCell ref="K15:L15"/>
    <mergeCell ref="K16:L16"/>
  </mergeCells>
  <phoneticPr fontId="2" type="noConversion"/>
  <dataValidations count="1">
    <dataValidation type="decimal" errorStyle="warning" allowBlank="1" showInputMessage="1" showErrorMessage="1" errorTitle="Attention" error="Merci de saisir des chiffres." sqref="B74:J77 B69:J71 B47:J50 B41:J44 B24:J38 B14:J17" xr:uid="{24E1D736-A208-4398-B805-58D283503D9F}">
      <formula1>-99999999999999</formula1>
      <formula2>99999999999999</formula2>
    </dataValidation>
  </dataValidations>
  <printOptions horizontalCentered="1"/>
  <pageMargins left="0.3" right="0.3" top="0.5" bottom="0.5" header="0.3" footer="0.3"/>
  <pageSetup paperSize="9" scale="86" fitToHeight="0" orientation="landscape" r:id="rId1"/>
  <rowBreaks count="1" manualBreakCount="1">
    <brk id="53" max="16383" man="1"/>
  </rowBreaks>
  <ignoredErrors>
    <ignoredError sqref="C68:J68 C67:J67"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D592-7CE9-43DE-92B7-B855AEB0C364}">
  <sheetPr codeName="Tresorerie">
    <tabColor rgb="FFBCE5D2"/>
    <pageSetUpPr fitToPage="1"/>
  </sheetPr>
  <dimension ref="A1:S29"/>
  <sheetViews>
    <sheetView showGridLines="0" workbookViewId="0">
      <pane xSplit="1" topLeftCell="B1" activePane="topRight" state="frozen"/>
      <selection sqref="A1:C1"/>
      <selection pane="topRight" activeCell="A21" sqref="A21"/>
    </sheetView>
  </sheetViews>
  <sheetFormatPr baseColWidth="10" defaultColWidth="11.42578125" defaultRowHeight="15" x14ac:dyDescent="0.25"/>
  <cols>
    <col min="1" max="1" width="65.140625" bestFit="1" customWidth="1"/>
    <col min="2" max="2" width="15.42578125" bestFit="1" customWidth="1"/>
    <col min="3" max="10" width="11.7109375" customWidth="1"/>
    <col min="11" max="12" width="56.5703125" customWidth="1"/>
  </cols>
  <sheetData>
    <row r="1" spans="1:12" ht="57" customHeight="1" thickBot="1" x14ac:dyDescent="0.3">
      <c r="A1" s="185" t="s">
        <v>284</v>
      </c>
      <c r="B1" s="185"/>
      <c r="C1" s="185"/>
      <c r="D1" s="185"/>
      <c r="E1" s="185"/>
      <c r="F1" s="185"/>
      <c r="G1" s="185"/>
      <c r="H1" s="185"/>
      <c r="I1" s="185"/>
      <c r="J1" s="185"/>
    </row>
    <row r="2" spans="1:12" ht="20.25" customHeight="1" x14ac:dyDescent="0.25">
      <c r="A2" s="4"/>
      <c r="B2" s="4"/>
      <c r="C2" s="4"/>
      <c r="D2" s="4"/>
      <c r="E2" s="4"/>
      <c r="F2" s="4"/>
      <c r="G2" s="4"/>
      <c r="H2" s="4"/>
      <c r="I2" s="4"/>
      <c r="J2" s="4"/>
      <c r="K2" s="4"/>
      <c r="L2" s="4"/>
    </row>
    <row r="3" spans="1:12" ht="20.25" customHeight="1" x14ac:dyDescent="0.3">
      <c r="A3" s="186" t="s">
        <v>285</v>
      </c>
      <c r="B3" s="186"/>
      <c r="C3" s="186"/>
      <c r="D3" s="186"/>
      <c r="E3" s="186"/>
      <c r="F3" s="186"/>
      <c r="G3" s="186"/>
      <c r="H3" s="186"/>
      <c r="I3" s="186"/>
      <c r="J3" s="186"/>
      <c r="K3" s="4"/>
      <c r="L3" s="95"/>
    </row>
    <row r="4" spans="1:12" ht="20.25" customHeight="1" x14ac:dyDescent="0.25">
      <c r="A4" s="4"/>
      <c r="B4" s="6"/>
      <c r="C4" s="6"/>
      <c r="D4" s="6"/>
      <c r="E4" s="6"/>
      <c r="F4" s="6"/>
      <c r="G4" s="6"/>
      <c r="H4" s="6"/>
      <c r="I4" s="6"/>
      <c r="J4" s="6"/>
      <c r="K4" s="4"/>
      <c r="L4" s="4"/>
    </row>
    <row r="5" spans="1:12" ht="18.75" x14ac:dyDescent="0.25">
      <c r="A5" s="170" t="s">
        <v>286</v>
      </c>
      <c r="B5" s="170" t="s">
        <v>335</v>
      </c>
      <c r="C5" s="170"/>
      <c r="D5" s="170"/>
      <c r="E5" s="170"/>
      <c r="F5" s="170"/>
      <c r="G5" s="170"/>
      <c r="H5" s="170"/>
      <c r="I5" s="170"/>
      <c r="J5" s="170"/>
      <c r="K5" s="170" t="s">
        <v>188</v>
      </c>
      <c r="L5" s="170"/>
    </row>
    <row r="6" spans="1:12" ht="56.25" x14ac:dyDescent="0.25">
      <c r="A6" s="170"/>
      <c r="B6" s="25" t="s">
        <v>125</v>
      </c>
      <c r="C6" s="25" t="s">
        <v>96</v>
      </c>
      <c r="D6" s="25" t="s">
        <v>97</v>
      </c>
      <c r="E6" s="25" t="s">
        <v>98</v>
      </c>
      <c r="F6" s="25" t="s">
        <v>99</v>
      </c>
      <c r="G6" s="25" t="s">
        <v>100</v>
      </c>
      <c r="H6" s="25" t="s">
        <v>101</v>
      </c>
      <c r="I6" s="25" t="s">
        <v>102</v>
      </c>
      <c r="J6" s="25" t="s">
        <v>103</v>
      </c>
      <c r="K6" s="170"/>
      <c r="L6" s="170"/>
    </row>
    <row r="7" spans="1:12" ht="20.25" customHeight="1" x14ac:dyDescent="0.25">
      <c r="A7" s="7"/>
      <c r="B7" s="8"/>
      <c r="C7" s="8"/>
      <c r="D7" s="8"/>
      <c r="E7" s="8"/>
      <c r="F7" s="8"/>
      <c r="G7" s="8"/>
      <c r="H7" s="8"/>
      <c r="I7" s="8"/>
      <c r="J7" s="8"/>
      <c r="K7" s="184"/>
      <c r="L7" s="184"/>
    </row>
    <row r="8" spans="1:12" ht="20.25" customHeight="1" x14ac:dyDescent="0.25">
      <c r="A8" s="28" t="s">
        <v>287</v>
      </c>
      <c r="B8" s="111">
        <f>'⚙️ Exploitation sur 8 ans'!B82</f>
        <v>0</v>
      </c>
      <c r="C8" s="111">
        <f>'⚙️ Exploitation sur 8 ans'!C82</f>
        <v>0</v>
      </c>
      <c r="D8" s="111">
        <f>'⚙️ Exploitation sur 8 ans'!D82</f>
        <v>0</v>
      </c>
      <c r="E8" s="111">
        <f>'⚙️ Exploitation sur 8 ans'!E82</f>
        <v>0</v>
      </c>
      <c r="F8" s="111">
        <f>'⚙️ Exploitation sur 8 ans'!F82</f>
        <v>0</v>
      </c>
      <c r="G8" s="111">
        <f>'⚙️ Exploitation sur 8 ans'!G82</f>
        <v>0</v>
      </c>
      <c r="H8" s="111">
        <f>'⚙️ Exploitation sur 8 ans'!H82</f>
        <v>0</v>
      </c>
      <c r="I8" s="111">
        <f>'⚙️ Exploitation sur 8 ans'!I82</f>
        <v>0</v>
      </c>
      <c r="J8" s="111">
        <f>'⚙️ Exploitation sur 8 ans'!J82</f>
        <v>0</v>
      </c>
      <c r="K8" s="179"/>
      <c r="L8" s="180"/>
    </row>
    <row r="9" spans="1:12" ht="20.25" customHeight="1" x14ac:dyDescent="0.25">
      <c r="A9" s="40" t="s">
        <v>288</v>
      </c>
      <c r="B9" s="112"/>
      <c r="C9" s="112">
        <f>'⚙️ Exploitation sur 8 ans'!C52/3</f>
        <v>0</v>
      </c>
      <c r="D9" s="112"/>
      <c r="E9" s="112"/>
      <c r="F9" s="112"/>
      <c r="G9" s="112"/>
      <c r="H9" s="112"/>
      <c r="I9" s="112"/>
      <c r="J9" s="112"/>
      <c r="K9" s="179" t="s">
        <v>289</v>
      </c>
      <c r="L9" s="180"/>
    </row>
    <row r="10" spans="1:12" ht="20.25" customHeight="1" x14ac:dyDescent="0.25">
      <c r="A10" s="40" t="s">
        <v>290</v>
      </c>
      <c r="B10" s="112">
        <f>B9-B8</f>
        <v>0</v>
      </c>
      <c r="C10" s="112">
        <f>B10-C8+C9</f>
        <v>0</v>
      </c>
      <c r="D10" s="112">
        <f>C10-D8</f>
        <v>0</v>
      </c>
      <c r="E10" s="112">
        <f t="shared" ref="E10:J10" si="0">D10-E8</f>
        <v>0</v>
      </c>
      <c r="F10" s="112">
        <f t="shared" si="0"/>
        <v>0</v>
      </c>
      <c r="G10" s="112">
        <f t="shared" si="0"/>
        <v>0</v>
      </c>
      <c r="H10" s="112">
        <f t="shared" si="0"/>
        <v>0</v>
      </c>
      <c r="I10" s="112">
        <f t="shared" si="0"/>
        <v>0</v>
      </c>
      <c r="J10" s="112">
        <f t="shared" si="0"/>
        <v>0</v>
      </c>
      <c r="K10" s="179"/>
      <c r="L10" s="180"/>
    </row>
    <row r="11" spans="1:12" ht="20.25" customHeight="1" x14ac:dyDescent="0.25">
      <c r="A11" s="40" t="s">
        <v>291</v>
      </c>
      <c r="B11" s="112"/>
      <c r="C11" s="112">
        <f>'💡 Hypothèses'!B23</f>
        <v>0</v>
      </c>
      <c r="D11" s="112"/>
      <c r="E11" s="112"/>
      <c r="F11" s="112"/>
      <c r="G11" s="112"/>
      <c r="H11" s="112"/>
      <c r="I11" s="112"/>
      <c r="J11" s="112"/>
      <c r="K11" s="179"/>
      <c r="L11" s="180"/>
    </row>
    <row r="12" spans="1:12" ht="20.25" customHeight="1" x14ac:dyDescent="0.25">
      <c r="A12" s="40" t="s">
        <v>292</v>
      </c>
      <c r="B12" s="112"/>
      <c r="C12" s="112"/>
      <c r="D12" s="112"/>
      <c r="E12" s="112"/>
      <c r="F12" s="112">
        <f>-$C$11/7</f>
        <v>0</v>
      </c>
      <c r="G12" s="112">
        <f t="shared" ref="G12:J12" si="1">-$C$11/7</f>
        <v>0</v>
      </c>
      <c r="H12" s="112">
        <f t="shared" si="1"/>
        <v>0</v>
      </c>
      <c r="I12" s="112">
        <f t="shared" si="1"/>
        <v>0</v>
      </c>
      <c r="J12" s="112">
        <f t="shared" si="1"/>
        <v>0</v>
      </c>
      <c r="K12" s="179"/>
      <c r="L12" s="180"/>
    </row>
    <row r="13" spans="1:12" ht="20.25" customHeight="1" x14ac:dyDescent="0.25">
      <c r="A13" s="40" t="s">
        <v>293</v>
      </c>
      <c r="B13" s="112"/>
      <c r="C13" s="112">
        <f>-$C$11*'💡 Hypothèses'!$B$24</f>
        <v>0</v>
      </c>
      <c r="D13" s="112">
        <f>-$C$11*'💡 Hypothèses'!$B$24</f>
        <v>0</v>
      </c>
      <c r="E13" s="112">
        <f>-$C$11*'💡 Hypothèses'!$B$24</f>
        <v>0</v>
      </c>
      <c r="F13" s="112">
        <f>-(C11+F12)*'💡 Hypothèses'!B24</f>
        <v>0</v>
      </c>
      <c r="G13" s="112">
        <f>-(C11+F12+G12)*'💡 Hypothèses'!B24</f>
        <v>0</v>
      </c>
      <c r="H13" s="112">
        <f>-(C11+F12+G12+H12)*'💡 Hypothèses'!B24</f>
        <v>0</v>
      </c>
      <c r="I13" s="112">
        <f>-(C11+F12+G12+H12+I12)*'💡 Hypothèses'!B24</f>
        <v>0</v>
      </c>
      <c r="J13" s="112">
        <f>-(C11+F12+G12+H12+I12+J12)*'💡 Hypothèses'!B24</f>
        <v>0</v>
      </c>
      <c r="K13" s="179"/>
      <c r="L13" s="180"/>
    </row>
    <row r="14" spans="1:12" ht="20.25" customHeight="1" x14ac:dyDescent="0.25">
      <c r="A14" s="40" t="s">
        <v>294</v>
      </c>
      <c r="B14" s="112"/>
      <c r="C14" s="112">
        <f>'💡 Hypothèses'!B25</f>
        <v>0</v>
      </c>
      <c r="D14" s="112"/>
      <c r="E14" s="112"/>
      <c r="F14" s="112"/>
      <c r="G14" s="112"/>
      <c r="H14" s="112"/>
      <c r="I14" s="112"/>
      <c r="J14" s="112"/>
      <c r="K14" s="179"/>
      <c r="L14" s="180"/>
    </row>
    <row r="15" spans="1:12" ht="20.25" customHeight="1" x14ac:dyDescent="0.25">
      <c r="A15" s="40" t="s">
        <v>295</v>
      </c>
      <c r="B15" s="112"/>
      <c r="C15" s="112"/>
      <c r="D15" s="112"/>
      <c r="E15" s="112"/>
      <c r="F15" s="112">
        <f>-$C$14/7</f>
        <v>0</v>
      </c>
      <c r="G15" s="112">
        <f t="shared" ref="G15:J15" si="2">-$C$14/7</f>
        <v>0</v>
      </c>
      <c r="H15" s="112">
        <f t="shared" si="2"/>
        <v>0</v>
      </c>
      <c r="I15" s="112">
        <f t="shared" si="2"/>
        <v>0</v>
      </c>
      <c r="J15" s="112">
        <f t="shared" si="2"/>
        <v>0</v>
      </c>
      <c r="K15" s="179"/>
      <c r="L15" s="180"/>
    </row>
    <row r="16" spans="1:12" ht="20.25" customHeight="1" x14ac:dyDescent="0.25">
      <c r="A16" s="40" t="s">
        <v>296</v>
      </c>
      <c r="B16" s="112"/>
      <c r="C16" s="112">
        <f>-$C$14*'💡 Hypothèses'!$B$26</f>
        <v>0</v>
      </c>
      <c r="D16" s="112">
        <f>-$C$14*'💡 Hypothèses'!$B$26</f>
        <v>0</v>
      </c>
      <c r="E16" s="112">
        <f>-$C$14*'💡 Hypothèses'!$B$26</f>
        <v>0</v>
      </c>
      <c r="F16" s="112">
        <f>-(C14+F15)*'💡 Hypothèses'!B26</f>
        <v>0</v>
      </c>
      <c r="G16" s="112">
        <f>-(C14+F15+G15)*'💡 Hypothèses'!B26</f>
        <v>0</v>
      </c>
      <c r="H16" s="112">
        <f>-(C14+F15+G15+H15)*'💡 Hypothèses'!B26</f>
        <v>0</v>
      </c>
      <c r="I16" s="112">
        <f>-(C14+F15+G15+H15+I15)*'💡 Hypothèses'!B26</f>
        <v>0</v>
      </c>
      <c r="J16" s="113">
        <f>-(C14+F15+G15+H15+I15+J15)*'💡 Hypothèses'!B26</f>
        <v>0</v>
      </c>
      <c r="K16" s="156"/>
      <c r="L16" s="157"/>
    </row>
    <row r="17" spans="1:19" ht="20.25" customHeight="1" x14ac:dyDescent="0.25">
      <c r="A17" s="7"/>
      <c r="B17" s="114"/>
      <c r="C17" s="114"/>
      <c r="D17" s="114"/>
      <c r="E17" s="114"/>
      <c r="F17" s="114"/>
      <c r="G17" s="114"/>
      <c r="H17" s="114"/>
      <c r="I17" s="114"/>
      <c r="J17" s="114"/>
      <c r="K17" s="184"/>
      <c r="L17" s="184"/>
    </row>
    <row r="18" spans="1:19" ht="20.25" customHeight="1" x14ac:dyDescent="0.25">
      <c r="A18" s="42" t="s">
        <v>297</v>
      </c>
      <c r="B18" s="115">
        <f>-B10+B11+B13</f>
        <v>0</v>
      </c>
      <c r="C18" s="115">
        <f>B18+C8-C9+C11+C12+C13+C14+C15+C16</f>
        <v>0</v>
      </c>
      <c r="D18" s="115">
        <f t="shared" ref="D18:I18" si="3">C18+D8-D9+D11+D12+D13+D14+D15+D16</f>
        <v>0</v>
      </c>
      <c r="E18" s="115">
        <f t="shared" si="3"/>
        <v>0</v>
      </c>
      <c r="F18" s="115">
        <f t="shared" si="3"/>
        <v>0</v>
      </c>
      <c r="G18" s="115">
        <f t="shared" si="3"/>
        <v>0</v>
      </c>
      <c r="H18" s="115">
        <f t="shared" si="3"/>
        <v>0</v>
      </c>
      <c r="I18" s="115">
        <f t="shared" si="3"/>
        <v>0</v>
      </c>
      <c r="J18" s="115">
        <f>I18+J8-J9+J11+J12+J13+J14+J15+J16</f>
        <v>0</v>
      </c>
      <c r="K18" s="156"/>
      <c r="L18" s="157"/>
    </row>
    <row r="19" spans="1:19" ht="20.25" customHeight="1" x14ac:dyDescent="0.25">
      <c r="A19" s="7"/>
      <c r="B19" s="75" t="s">
        <v>162</v>
      </c>
      <c r="C19" s="75" t="s">
        <v>96</v>
      </c>
      <c r="D19" s="75" t="s">
        <v>97</v>
      </c>
      <c r="E19" s="75" t="s">
        <v>98</v>
      </c>
      <c r="F19" s="75" t="s">
        <v>99</v>
      </c>
      <c r="G19" s="75" t="s">
        <v>100</v>
      </c>
      <c r="H19" s="75" t="s">
        <v>101</v>
      </c>
      <c r="I19" s="75" t="s">
        <v>102</v>
      </c>
      <c r="J19" s="75" t="s">
        <v>103</v>
      </c>
      <c r="K19" s="184"/>
      <c r="L19" s="184"/>
    </row>
    <row r="20" spans="1:19" ht="20.25" customHeight="1" x14ac:dyDescent="0.25">
      <c r="A20" s="28" t="s">
        <v>298</v>
      </c>
      <c r="B20" s="120">
        <f>SUM(B21:B27)</f>
        <v>0</v>
      </c>
      <c r="C20" s="120">
        <f t="shared" ref="C20:J20" si="4">SUM(C21:C27)</f>
        <v>0</v>
      </c>
      <c r="D20" s="120">
        <f t="shared" si="4"/>
        <v>0</v>
      </c>
      <c r="E20" s="120">
        <f t="shared" si="4"/>
        <v>0</v>
      </c>
      <c r="F20" s="120">
        <f t="shared" si="4"/>
        <v>0</v>
      </c>
      <c r="G20" s="120">
        <f t="shared" si="4"/>
        <v>0</v>
      </c>
      <c r="H20" s="120">
        <f t="shared" si="4"/>
        <v>0</v>
      </c>
      <c r="I20" s="120">
        <f>SUM(I21:I27)</f>
        <v>0</v>
      </c>
      <c r="J20" s="120">
        <f t="shared" si="4"/>
        <v>0</v>
      </c>
      <c r="K20" s="179"/>
      <c r="L20" s="180"/>
    </row>
    <row r="21" spans="1:19" ht="20.25" customHeight="1" x14ac:dyDescent="0.25">
      <c r="A21" s="47" t="s">
        <v>244</v>
      </c>
      <c r="B21" s="121"/>
      <c r="C21" s="121"/>
      <c r="D21" s="121"/>
      <c r="E21" s="121"/>
      <c r="F21" s="121"/>
      <c r="G21" s="121"/>
      <c r="H21" s="121"/>
      <c r="I21" s="121"/>
      <c r="J21" s="121"/>
      <c r="K21" s="179"/>
      <c r="L21" s="180"/>
    </row>
    <row r="22" spans="1:19" ht="20.25" customHeight="1" x14ac:dyDescent="0.25">
      <c r="A22" s="47" t="s">
        <v>246</v>
      </c>
      <c r="B22" s="121"/>
      <c r="C22" s="121"/>
      <c r="D22" s="121"/>
      <c r="E22" s="121"/>
      <c r="F22" s="121"/>
      <c r="G22" s="121"/>
      <c r="H22" s="121"/>
      <c r="I22" s="121"/>
      <c r="J22" s="121"/>
      <c r="K22" s="179"/>
      <c r="L22" s="180"/>
    </row>
    <row r="23" spans="1:19" ht="20.25" customHeight="1" x14ac:dyDescent="0.25">
      <c r="A23" s="47" t="s">
        <v>247</v>
      </c>
      <c r="B23" s="121"/>
      <c r="C23" s="121"/>
      <c r="D23" s="121"/>
      <c r="E23" s="121"/>
      <c r="F23" s="121"/>
      <c r="G23" s="121"/>
      <c r="H23" s="121"/>
      <c r="I23" s="121"/>
      <c r="J23" s="121"/>
      <c r="K23" s="179"/>
      <c r="L23" s="180"/>
    </row>
    <row r="24" spans="1:19" ht="20.25" customHeight="1" x14ac:dyDescent="0.25">
      <c r="A24" s="47" t="s">
        <v>248</v>
      </c>
      <c r="B24" s="121"/>
      <c r="C24" s="121"/>
      <c r="D24" s="121"/>
      <c r="E24" s="121"/>
      <c r="F24" s="121"/>
      <c r="G24" s="121"/>
      <c r="H24" s="121"/>
      <c r="I24" s="121"/>
      <c r="J24" s="121"/>
      <c r="K24" s="179"/>
      <c r="L24" s="180"/>
    </row>
    <row r="25" spans="1:19" ht="20.25" customHeight="1" x14ac:dyDescent="0.25">
      <c r="A25" s="47" t="s">
        <v>299</v>
      </c>
      <c r="B25" s="121"/>
      <c r="C25" s="121"/>
      <c r="D25" s="121"/>
      <c r="E25" s="121"/>
      <c r="F25" s="121"/>
      <c r="G25" s="121"/>
      <c r="H25" s="121"/>
      <c r="I25" s="121"/>
      <c r="J25" s="126"/>
      <c r="K25" s="160"/>
      <c r="L25" s="180"/>
    </row>
    <row r="26" spans="1:19" ht="20.25" customHeight="1" x14ac:dyDescent="0.25">
      <c r="A26" s="47" t="s">
        <v>300</v>
      </c>
      <c r="B26" s="121"/>
      <c r="C26" s="121"/>
      <c r="D26" s="121"/>
      <c r="E26" s="121"/>
      <c r="F26" s="121"/>
      <c r="G26" s="121"/>
      <c r="H26" s="121"/>
      <c r="I26" s="121"/>
      <c r="J26" s="126"/>
      <c r="K26" s="156"/>
      <c r="L26" s="157"/>
      <c r="M26" s="11"/>
      <c r="N26" s="11"/>
      <c r="O26" s="11"/>
      <c r="P26" s="11"/>
      <c r="Q26" s="11"/>
      <c r="R26" s="11"/>
      <c r="S26" s="11"/>
    </row>
    <row r="27" spans="1:19" ht="20.25" customHeight="1" x14ac:dyDescent="0.25">
      <c r="A27" s="47" t="s">
        <v>301</v>
      </c>
      <c r="B27" s="121"/>
      <c r="C27" s="121"/>
      <c r="D27" s="121"/>
      <c r="E27" s="121"/>
      <c r="F27" s="121"/>
      <c r="G27" s="121"/>
      <c r="H27" s="121"/>
      <c r="I27" s="121"/>
      <c r="J27" s="126"/>
      <c r="K27" s="189"/>
      <c r="L27" s="190"/>
      <c r="M27" s="11"/>
      <c r="N27" s="11"/>
      <c r="O27" s="11"/>
      <c r="P27" s="11"/>
      <c r="Q27" s="11"/>
      <c r="R27" s="11"/>
      <c r="S27" s="11"/>
    </row>
    <row r="28" spans="1:19" ht="20.25" customHeight="1" x14ac:dyDescent="0.25">
      <c r="B28" s="127"/>
      <c r="C28" s="127"/>
      <c r="D28" s="127"/>
      <c r="E28" s="127"/>
      <c r="F28" s="127"/>
      <c r="G28" s="127"/>
      <c r="H28" s="127"/>
      <c r="I28" s="127"/>
      <c r="J28" s="127"/>
    </row>
    <row r="29" spans="1:19" ht="20.25" customHeight="1" x14ac:dyDescent="0.25">
      <c r="A29" s="52" t="s">
        <v>302</v>
      </c>
      <c r="B29" s="128">
        <f>B18+B20</f>
        <v>0</v>
      </c>
      <c r="C29" s="129">
        <f>B29+C8-C9+C11+C12+C13+C14+C15+C16+C20</f>
        <v>0</v>
      </c>
      <c r="D29" s="129">
        <f t="shared" ref="D29:J29" si="5">C29+D8-D9+D11+D12+D13+D14+D15+D16+D20</f>
        <v>0</v>
      </c>
      <c r="E29" s="129">
        <f t="shared" si="5"/>
        <v>0</v>
      </c>
      <c r="F29" s="129">
        <f t="shared" si="5"/>
        <v>0</v>
      </c>
      <c r="G29" s="129">
        <f t="shared" si="5"/>
        <v>0</v>
      </c>
      <c r="H29" s="129">
        <f t="shared" si="5"/>
        <v>0</v>
      </c>
      <c r="I29" s="129">
        <f t="shared" si="5"/>
        <v>0</v>
      </c>
      <c r="J29" s="129">
        <f t="shared" si="5"/>
        <v>0</v>
      </c>
      <c r="K29" s="187"/>
      <c r="L29" s="188"/>
    </row>
  </sheetData>
  <sheetProtection sheet="1" objects="1" scenarios="1" selectLockedCells="1"/>
  <mergeCells count="27">
    <mergeCell ref="A1:J1"/>
    <mergeCell ref="A3:J3"/>
    <mergeCell ref="K29:L29"/>
    <mergeCell ref="A5:A6"/>
    <mergeCell ref="K5:L6"/>
    <mergeCell ref="K26:L26"/>
    <mergeCell ref="K27:L27"/>
    <mergeCell ref="K10:L10"/>
    <mergeCell ref="K11:L11"/>
    <mergeCell ref="K13:L13"/>
    <mergeCell ref="B5:J5"/>
    <mergeCell ref="K7:L7"/>
    <mergeCell ref="K8:L8"/>
    <mergeCell ref="K9:L9"/>
    <mergeCell ref="K12:L12"/>
    <mergeCell ref="K14:L14"/>
    <mergeCell ref="K15:L15"/>
    <mergeCell ref="K16:L16"/>
    <mergeCell ref="K25:L25"/>
    <mergeCell ref="K17:L17"/>
    <mergeCell ref="K22:L22"/>
    <mergeCell ref="K23:L23"/>
    <mergeCell ref="K24:L24"/>
    <mergeCell ref="K18:L18"/>
    <mergeCell ref="K19:L19"/>
    <mergeCell ref="K20:L20"/>
    <mergeCell ref="K21:L21"/>
  </mergeCells>
  <dataValidations count="1">
    <dataValidation type="decimal" errorStyle="warning" allowBlank="1" showInputMessage="1" showErrorMessage="1" errorTitle="Attention" error="Merci de saisir des chiffres." sqref="B21:J27" xr:uid="{0F52CF42-987F-4E58-8264-DF4B5E4FCA81}">
      <formula1>-99999999999999</formula1>
      <formula2>99999999999999</formula2>
    </dataValidation>
  </dataValidations>
  <printOptions horizontalCentered="1"/>
  <pageMargins left="0.3" right="0.3" top="0.5" bottom="0.5" header="0.3" footer="0.3"/>
  <pageSetup paperSize="9" scale="55" orientation="portrait" r:id="rId1"/>
  <ignoredErrors>
    <ignoredError sqref="B10 E10:J10 C11"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91E15-AFB0-4519-9795-58E5567B27EC}">
  <sheetPr codeName="EtatsFinanciers">
    <tabColor rgb="FFE0E0E0"/>
    <pageSetUpPr fitToPage="1"/>
  </sheetPr>
  <dimension ref="A1:J45"/>
  <sheetViews>
    <sheetView showGridLines="0" workbookViewId="0">
      <pane xSplit="1" topLeftCell="B1" activePane="topRight" state="frozen"/>
      <selection sqref="A1:C1"/>
      <selection pane="topRight" activeCell="B35" sqref="B35:J35"/>
    </sheetView>
  </sheetViews>
  <sheetFormatPr baseColWidth="10" defaultColWidth="18" defaultRowHeight="20.25" customHeight="1" x14ac:dyDescent="0.25"/>
  <cols>
    <col min="1" max="1" width="60.140625" style="4" bestFit="1" customWidth="1"/>
    <col min="2" max="2" width="15.140625" style="4" customWidth="1"/>
    <col min="3" max="10" width="11.7109375" style="4" customWidth="1"/>
    <col min="11" max="16384" width="18" style="4"/>
  </cols>
  <sheetData>
    <row r="1" spans="1:10" ht="57" customHeight="1" x14ac:dyDescent="0.25">
      <c r="A1" s="191" t="s">
        <v>303</v>
      </c>
      <c r="B1" s="191"/>
      <c r="C1" s="191"/>
      <c r="D1" s="191"/>
      <c r="E1" s="191"/>
      <c r="F1" s="191"/>
      <c r="G1" s="191"/>
      <c r="H1" s="191"/>
      <c r="I1" s="191"/>
      <c r="J1" s="191"/>
    </row>
    <row r="2" spans="1:10" s="96" customFormat="1" ht="27" customHeight="1" x14ac:dyDescent="0.25">
      <c r="A2" s="192" t="s">
        <v>304</v>
      </c>
      <c r="B2" s="192"/>
      <c r="C2" s="192"/>
      <c r="D2" s="192"/>
      <c r="E2" s="192"/>
      <c r="F2" s="192"/>
      <c r="G2" s="192"/>
      <c r="H2" s="192"/>
      <c r="I2" s="192"/>
      <c r="J2" s="192"/>
    </row>
    <row r="3" spans="1:10" ht="56.25" x14ac:dyDescent="0.25">
      <c r="A3" s="25" t="s">
        <v>305</v>
      </c>
      <c r="B3" s="25" t="s">
        <v>125</v>
      </c>
      <c r="C3" s="25" t="s">
        <v>96</v>
      </c>
      <c r="D3" s="25" t="s">
        <v>97</v>
      </c>
      <c r="E3" s="25" t="s">
        <v>98</v>
      </c>
      <c r="F3" s="25" t="s">
        <v>99</v>
      </c>
      <c r="G3" s="25" t="s">
        <v>100</v>
      </c>
      <c r="H3" s="25" t="s">
        <v>101</v>
      </c>
      <c r="I3" s="25" t="s">
        <v>102</v>
      </c>
      <c r="J3" s="25" t="s">
        <v>103</v>
      </c>
    </row>
    <row r="4" spans="1:10" ht="20.25" customHeight="1" x14ac:dyDescent="0.25">
      <c r="B4" s="17"/>
      <c r="C4" s="17"/>
      <c r="D4" s="17"/>
      <c r="E4" s="17"/>
      <c r="F4" s="17"/>
      <c r="G4" s="17"/>
      <c r="H4" s="17"/>
      <c r="I4" s="17"/>
      <c r="J4" s="17"/>
    </row>
    <row r="5" spans="1:10" ht="20.25" customHeight="1" x14ac:dyDescent="0.25">
      <c r="A5" s="59" t="s">
        <v>306</v>
      </c>
      <c r="B5" s="60">
        <f>'💡 Hypothèses'!B34</f>
        <v>0</v>
      </c>
      <c r="C5" s="22">
        <f>'💡 Hypothèses'!C34</f>
        <v>0</v>
      </c>
      <c r="D5" s="22">
        <f>'💡 Hypothèses'!D34</f>
        <v>0</v>
      </c>
      <c r="E5" s="22">
        <f>'💡 Hypothèses'!E34</f>
        <v>0</v>
      </c>
      <c r="F5" s="22">
        <f>'💡 Hypothèses'!F34</f>
        <v>0</v>
      </c>
      <c r="G5" s="22">
        <f>'💡 Hypothèses'!G34</f>
        <v>0</v>
      </c>
      <c r="H5" s="22">
        <f>'💡 Hypothèses'!H34</f>
        <v>0</v>
      </c>
      <c r="I5" s="49">
        <f>'💡 Hypothèses'!I34</f>
        <v>0</v>
      </c>
      <c r="J5" s="65">
        <f>'💡 Hypothèses'!J34</f>
        <v>0</v>
      </c>
    </row>
    <row r="6" spans="1:10" ht="20.25" customHeight="1" x14ac:dyDescent="0.25">
      <c r="B6" s="17"/>
      <c r="C6" s="17"/>
      <c r="D6" s="17"/>
      <c r="E6" s="17"/>
      <c r="F6" s="17"/>
      <c r="G6" s="17"/>
      <c r="H6" s="17"/>
      <c r="I6" s="17"/>
      <c r="J6" s="17"/>
    </row>
    <row r="7" spans="1:10" ht="20.25" customHeight="1" x14ac:dyDescent="0.25">
      <c r="A7" s="7"/>
      <c r="B7" s="193" t="s">
        <v>335</v>
      </c>
      <c r="C7" s="193"/>
      <c r="D7" s="193"/>
      <c r="E7" s="193"/>
      <c r="F7" s="193"/>
      <c r="G7" s="193"/>
      <c r="H7" s="193"/>
      <c r="I7" s="193"/>
      <c r="J7" s="193"/>
    </row>
    <row r="8" spans="1:10" ht="20.25" customHeight="1" x14ac:dyDescent="0.25">
      <c r="A8" s="55" t="s">
        <v>307</v>
      </c>
      <c r="B8" s="57">
        <f>'⚙️ Exploitation sur 8 ans'!B59</f>
        <v>0</v>
      </c>
      <c r="C8" s="58">
        <f>'⚙️ Exploitation sur 8 ans'!C59</f>
        <v>0</v>
      </c>
      <c r="D8" s="58">
        <f>'⚙️ Exploitation sur 8 ans'!D59</f>
        <v>0</v>
      </c>
      <c r="E8" s="58">
        <f>'⚙️ Exploitation sur 8 ans'!E59</f>
        <v>0</v>
      </c>
      <c r="F8" s="58">
        <f>'⚙️ Exploitation sur 8 ans'!F59</f>
        <v>0</v>
      </c>
      <c r="G8" s="58">
        <f>'⚙️ Exploitation sur 8 ans'!G59</f>
        <v>0</v>
      </c>
      <c r="H8" s="58">
        <f>'⚙️ Exploitation sur 8 ans'!H59</f>
        <v>0</v>
      </c>
      <c r="I8" s="58">
        <f>'⚙️ Exploitation sur 8 ans'!I59</f>
        <v>0</v>
      </c>
      <c r="J8" s="58">
        <f>'⚙️ Exploitation sur 8 ans'!J59</f>
        <v>0</v>
      </c>
    </row>
    <row r="9" spans="1:10" ht="20.25" customHeight="1" x14ac:dyDescent="0.25">
      <c r="A9" s="54" t="s">
        <v>308</v>
      </c>
      <c r="B9" s="23">
        <f>'⚙️ Exploitation sur 8 ans'!B62</f>
        <v>0</v>
      </c>
      <c r="C9" s="23">
        <f>'⚙️ Exploitation sur 8 ans'!C62</f>
        <v>0</v>
      </c>
      <c r="D9" s="23">
        <f>'⚙️ Exploitation sur 8 ans'!D62</f>
        <v>0</v>
      </c>
      <c r="E9" s="23">
        <f>'⚙️ Exploitation sur 8 ans'!E62</f>
        <v>0</v>
      </c>
      <c r="F9" s="23">
        <f>'⚙️ Exploitation sur 8 ans'!F62</f>
        <v>0</v>
      </c>
      <c r="G9" s="23">
        <f>'⚙️ Exploitation sur 8 ans'!G62</f>
        <v>0</v>
      </c>
      <c r="H9" s="23">
        <f>'⚙️ Exploitation sur 8 ans'!H62</f>
        <v>0</v>
      </c>
      <c r="I9" s="23">
        <f>'⚙️ Exploitation sur 8 ans'!I62</f>
        <v>0</v>
      </c>
      <c r="J9" s="23">
        <f>'⚙️ Exploitation sur 8 ans'!J62</f>
        <v>0</v>
      </c>
    </row>
    <row r="10" spans="1:10" ht="20.25" customHeight="1" x14ac:dyDescent="0.25">
      <c r="A10" s="53" t="s">
        <v>309</v>
      </c>
      <c r="B10" s="23">
        <f>'⚙️ Exploitation sur 8 ans'!B66+'💶 Trésorerie sur 8 ans'!B21</f>
        <v>0</v>
      </c>
      <c r="C10" s="23">
        <f>'⚙️ Exploitation sur 8 ans'!C66+'💶 Trésorerie sur 8 ans'!C21</f>
        <v>0</v>
      </c>
      <c r="D10" s="23">
        <f>'⚙️ Exploitation sur 8 ans'!D66+'💶 Trésorerie sur 8 ans'!D21</f>
        <v>0</v>
      </c>
      <c r="E10" s="23">
        <f>'⚙️ Exploitation sur 8 ans'!E66+'💶 Trésorerie sur 8 ans'!E21</f>
        <v>0</v>
      </c>
      <c r="F10" s="23">
        <f>'⚙️ Exploitation sur 8 ans'!F66+'💶 Trésorerie sur 8 ans'!F21</f>
        <v>0</v>
      </c>
      <c r="G10" s="23">
        <f>'⚙️ Exploitation sur 8 ans'!G66+'💶 Trésorerie sur 8 ans'!G21</f>
        <v>0</v>
      </c>
      <c r="H10" s="23">
        <f>'⚙️ Exploitation sur 8 ans'!H66+'💶 Trésorerie sur 8 ans'!H21</f>
        <v>0</v>
      </c>
      <c r="I10" s="23">
        <f>'⚙️ Exploitation sur 8 ans'!I66+'💶 Trésorerie sur 8 ans'!I21</f>
        <v>0</v>
      </c>
      <c r="J10" s="23">
        <f>'⚙️ Exploitation sur 8 ans'!J66+'💶 Trésorerie sur 8 ans'!J21</f>
        <v>0</v>
      </c>
    </row>
    <row r="11" spans="1:10" ht="20.25" customHeight="1" x14ac:dyDescent="0.25">
      <c r="A11" s="53" t="s">
        <v>310</v>
      </c>
      <c r="B11" s="23">
        <f>'⚙️ Exploitation sur 8 ans'!B73</f>
        <v>0</v>
      </c>
      <c r="C11" s="23">
        <f>'⚙️ Exploitation sur 8 ans'!C73</f>
        <v>0</v>
      </c>
      <c r="D11" s="23">
        <f>'⚙️ Exploitation sur 8 ans'!D73</f>
        <v>0</v>
      </c>
      <c r="E11" s="23">
        <f>'⚙️ Exploitation sur 8 ans'!E73</f>
        <v>0</v>
      </c>
      <c r="F11" s="23">
        <f>'⚙️ Exploitation sur 8 ans'!F73</f>
        <v>0</v>
      </c>
      <c r="G11" s="23">
        <f>'⚙️ Exploitation sur 8 ans'!G73</f>
        <v>0</v>
      </c>
      <c r="H11" s="23">
        <f>'⚙️ Exploitation sur 8 ans'!H73</f>
        <v>0</v>
      </c>
      <c r="I11" s="23">
        <f>'⚙️ Exploitation sur 8 ans'!I73</f>
        <v>0</v>
      </c>
      <c r="J11" s="23">
        <f>'⚙️ Exploitation sur 8 ans'!J73</f>
        <v>0</v>
      </c>
    </row>
    <row r="12" spans="1:10" ht="20.25" customHeight="1" x14ac:dyDescent="0.25">
      <c r="A12" s="28" t="s">
        <v>281</v>
      </c>
      <c r="B12" s="22">
        <f>SUM(B8:B11)</f>
        <v>0</v>
      </c>
      <c r="C12" s="22">
        <f t="shared" ref="C12:J12" si="0">SUM(C8:C11)</f>
        <v>0</v>
      </c>
      <c r="D12" s="22">
        <f t="shared" si="0"/>
        <v>0</v>
      </c>
      <c r="E12" s="22">
        <f t="shared" si="0"/>
        <v>0</v>
      </c>
      <c r="F12" s="22">
        <f t="shared" si="0"/>
        <v>0</v>
      </c>
      <c r="G12" s="22">
        <f t="shared" si="0"/>
        <v>0</v>
      </c>
      <c r="H12" s="22">
        <f t="shared" si="0"/>
        <v>0</v>
      </c>
      <c r="I12" s="22">
        <f t="shared" si="0"/>
        <v>0</v>
      </c>
      <c r="J12" s="22">
        <f t="shared" si="0"/>
        <v>0</v>
      </c>
    </row>
    <row r="13" spans="1:10" ht="20.25" customHeight="1" x14ac:dyDescent="0.25">
      <c r="A13" s="53" t="s">
        <v>311</v>
      </c>
      <c r="B13" s="23">
        <f>'⚙️ Exploitation sur 8 ans'!B23</f>
        <v>0</v>
      </c>
      <c r="C13" s="23">
        <f>'⚙️ Exploitation sur 8 ans'!C23</f>
        <v>0</v>
      </c>
      <c r="D13" s="23">
        <f>'⚙️ Exploitation sur 8 ans'!D23</f>
        <v>0</v>
      </c>
      <c r="E13" s="23">
        <f>'⚙️ Exploitation sur 8 ans'!E23</f>
        <v>0</v>
      </c>
      <c r="F13" s="23">
        <f>'⚙️ Exploitation sur 8 ans'!F23</f>
        <v>0</v>
      </c>
      <c r="G13" s="23">
        <f>'⚙️ Exploitation sur 8 ans'!G23</f>
        <v>0</v>
      </c>
      <c r="H13" s="23">
        <f>'⚙️ Exploitation sur 8 ans'!H23</f>
        <v>0</v>
      </c>
      <c r="I13" s="23">
        <f>'⚙️ Exploitation sur 8 ans'!I23</f>
        <v>0</v>
      </c>
      <c r="J13" s="23">
        <f>'⚙️ Exploitation sur 8 ans'!J23</f>
        <v>0</v>
      </c>
    </row>
    <row r="14" spans="1:10" ht="20.25" customHeight="1" x14ac:dyDescent="0.25">
      <c r="A14" s="84" t="s">
        <v>312</v>
      </c>
      <c r="B14" s="85" t="str">
        <f>IF(B12=0,"",(B13/B12))</f>
        <v/>
      </c>
      <c r="C14" s="85" t="str">
        <f t="shared" ref="C14:J14" si="1">IF(C12=0,"",(C13/C12))</f>
        <v/>
      </c>
      <c r="D14" s="85" t="str">
        <f t="shared" si="1"/>
        <v/>
      </c>
      <c r="E14" s="85" t="str">
        <f t="shared" si="1"/>
        <v/>
      </c>
      <c r="F14" s="85" t="str">
        <f t="shared" si="1"/>
        <v/>
      </c>
      <c r="G14" s="85" t="str">
        <f t="shared" si="1"/>
        <v/>
      </c>
      <c r="H14" s="85" t="str">
        <f t="shared" si="1"/>
        <v/>
      </c>
      <c r="I14" s="85" t="str">
        <f t="shared" si="1"/>
        <v/>
      </c>
      <c r="J14" s="85" t="str">
        <f t="shared" si="1"/>
        <v/>
      </c>
    </row>
    <row r="15" spans="1:10" ht="20.25" customHeight="1" x14ac:dyDescent="0.25">
      <c r="A15" s="53" t="s">
        <v>313</v>
      </c>
      <c r="B15" s="23">
        <f>'⚙️ Exploitation sur 8 ans'!B8</f>
        <v>0</v>
      </c>
      <c r="C15" s="23">
        <f>'⚙️ Exploitation sur 8 ans'!C8</f>
        <v>0</v>
      </c>
      <c r="D15" s="23">
        <f>'⚙️ Exploitation sur 8 ans'!D8</f>
        <v>0</v>
      </c>
      <c r="E15" s="23">
        <f>'⚙️ Exploitation sur 8 ans'!E8</f>
        <v>0</v>
      </c>
      <c r="F15" s="23">
        <f>'⚙️ Exploitation sur 8 ans'!F8</f>
        <v>0</v>
      </c>
      <c r="G15" s="23">
        <f>'⚙️ Exploitation sur 8 ans'!G8</f>
        <v>0</v>
      </c>
      <c r="H15" s="23">
        <f>'⚙️ Exploitation sur 8 ans'!H8</f>
        <v>0</v>
      </c>
      <c r="I15" s="23">
        <f>'⚙️ Exploitation sur 8 ans'!I8</f>
        <v>0</v>
      </c>
      <c r="J15" s="23">
        <f>'⚙️ Exploitation sur 8 ans'!J8</f>
        <v>0</v>
      </c>
    </row>
    <row r="16" spans="1:10" ht="20.25" customHeight="1" x14ac:dyDescent="0.25">
      <c r="A16" s="84" t="s">
        <v>314</v>
      </c>
      <c r="B16" s="85" t="str">
        <f>IF(B12=0,"",B15/B12)</f>
        <v/>
      </c>
      <c r="C16" s="85" t="str">
        <f t="shared" ref="C16:J16" si="2">IF(C12=0,"",C15/C12)</f>
        <v/>
      </c>
      <c r="D16" s="85" t="str">
        <f t="shared" si="2"/>
        <v/>
      </c>
      <c r="E16" s="85" t="str">
        <f t="shared" si="2"/>
        <v/>
      </c>
      <c r="F16" s="85" t="str">
        <f t="shared" si="2"/>
        <v/>
      </c>
      <c r="G16" s="85" t="str">
        <f t="shared" si="2"/>
        <v/>
      </c>
      <c r="H16" s="85" t="str">
        <f t="shared" si="2"/>
        <v/>
      </c>
      <c r="I16" s="85" t="str">
        <f t="shared" si="2"/>
        <v/>
      </c>
      <c r="J16" s="85" t="str">
        <f t="shared" si="2"/>
        <v/>
      </c>
    </row>
    <row r="17" spans="1:10" ht="20.25" customHeight="1" x14ac:dyDescent="0.25">
      <c r="A17" s="53" t="s">
        <v>315</v>
      </c>
      <c r="B17" s="23">
        <f>'⚙️ Exploitation sur 8 ans'!B40</f>
        <v>0</v>
      </c>
      <c r="C17" s="23">
        <f>'⚙️ Exploitation sur 8 ans'!C40</f>
        <v>0</v>
      </c>
      <c r="D17" s="23">
        <f>'⚙️ Exploitation sur 8 ans'!D40</f>
        <v>0</v>
      </c>
      <c r="E17" s="23">
        <f>'⚙️ Exploitation sur 8 ans'!E40</f>
        <v>0</v>
      </c>
      <c r="F17" s="23">
        <f>'⚙️ Exploitation sur 8 ans'!F40</f>
        <v>0</v>
      </c>
      <c r="G17" s="23">
        <f>'⚙️ Exploitation sur 8 ans'!G40</f>
        <v>0</v>
      </c>
      <c r="H17" s="23">
        <f>'⚙️ Exploitation sur 8 ans'!H40</f>
        <v>0</v>
      </c>
      <c r="I17" s="23">
        <f>'⚙️ Exploitation sur 8 ans'!I40</f>
        <v>0</v>
      </c>
      <c r="J17" s="23">
        <f>'⚙️ Exploitation sur 8 ans'!J40</f>
        <v>0</v>
      </c>
    </row>
    <row r="18" spans="1:10" ht="20.25" customHeight="1" x14ac:dyDescent="0.25">
      <c r="A18" s="53" t="s">
        <v>316</v>
      </c>
      <c r="B18" s="23">
        <f>'⚙️ Exploitation sur 8 ans'!B46</f>
        <v>0</v>
      </c>
      <c r="C18" s="23">
        <f>'⚙️ Exploitation sur 8 ans'!C46</f>
        <v>0</v>
      </c>
      <c r="D18" s="23">
        <f>'⚙️ Exploitation sur 8 ans'!D46</f>
        <v>0</v>
      </c>
      <c r="E18" s="23">
        <f>'⚙️ Exploitation sur 8 ans'!E46</f>
        <v>0</v>
      </c>
      <c r="F18" s="23">
        <f>'⚙️ Exploitation sur 8 ans'!F46</f>
        <v>0</v>
      </c>
      <c r="G18" s="23">
        <f>'⚙️ Exploitation sur 8 ans'!G46</f>
        <v>0</v>
      </c>
      <c r="H18" s="23">
        <f>'⚙️ Exploitation sur 8 ans'!H46</f>
        <v>0</v>
      </c>
      <c r="I18" s="23">
        <f>'⚙️ Exploitation sur 8 ans'!I46</f>
        <v>0</v>
      </c>
      <c r="J18" s="23">
        <f>'⚙️ Exploitation sur 8 ans'!J46</f>
        <v>0</v>
      </c>
    </row>
    <row r="19" spans="1:10" ht="20.25" customHeight="1" x14ac:dyDescent="0.25">
      <c r="A19" s="28" t="s">
        <v>317</v>
      </c>
      <c r="B19" s="22">
        <f>B13+B15+B17+B18</f>
        <v>0</v>
      </c>
      <c r="C19" s="22">
        <f t="shared" ref="C19:J19" si="3">C13+C15+C17+C18</f>
        <v>0</v>
      </c>
      <c r="D19" s="22">
        <f t="shared" si="3"/>
        <v>0</v>
      </c>
      <c r="E19" s="22">
        <f t="shared" si="3"/>
        <v>0</v>
      </c>
      <c r="F19" s="22">
        <f t="shared" si="3"/>
        <v>0</v>
      </c>
      <c r="G19" s="22">
        <f t="shared" si="3"/>
        <v>0</v>
      </c>
      <c r="H19" s="22">
        <f t="shared" si="3"/>
        <v>0</v>
      </c>
      <c r="I19" s="22">
        <f t="shared" si="3"/>
        <v>0</v>
      </c>
      <c r="J19" s="22">
        <f t="shared" si="3"/>
        <v>0</v>
      </c>
    </row>
    <row r="20" spans="1:10" ht="20.25" customHeight="1" x14ac:dyDescent="0.25">
      <c r="B20" s="61"/>
      <c r="C20" s="2"/>
      <c r="D20" s="2"/>
      <c r="E20" s="2"/>
      <c r="F20" s="2"/>
      <c r="G20" s="2"/>
      <c r="H20" s="2"/>
      <c r="I20" s="51"/>
      <c r="J20" s="63"/>
    </row>
    <row r="21" spans="1:10" ht="20.25" customHeight="1" x14ac:dyDescent="0.25">
      <c r="A21" s="28" t="s">
        <v>318</v>
      </c>
      <c r="B21" s="22">
        <f>B12-B19</f>
        <v>0</v>
      </c>
      <c r="C21" s="22">
        <f t="shared" ref="C21:J21" si="4">C12-C19</f>
        <v>0</v>
      </c>
      <c r="D21" s="22">
        <f t="shared" si="4"/>
        <v>0</v>
      </c>
      <c r="E21" s="22">
        <f t="shared" si="4"/>
        <v>0</v>
      </c>
      <c r="F21" s="22">
        <f t="shared" si="4"/>
        <v>0</v>
      </c>
      <c r="G21" s="22">
        <f t="shared" si="4"/>
        <v>0</v>
      </c>
      <c r="H21" s="22">
        <f t="shared" si="4"/>
        <v>0</v>
      </c>
      <c r="I21" s="22">
        <f t="shared" si="4"/>
        <v>0</v>
      </c>
      <c r="J21" s="64">
        <f t="shared" si="4"/>
        <v>0</v>
      </c>
    </row>
    <row r="22" spans="1:10" ht="20.25" customHeight="1" x14ac:dyDescent="0.25">
      <c r="B22" s="61"/>
      <c r="C22" s="2"/>
      <c r="D22" s="2"/>
      <c r="E22" s="2"/>
      <c r="F22" s="2"/>
      <c r="G22" s="2"/>
      <c r="H22" s="2"/>
      <c r="I22" s="51"/>
      <c r="J22" s="63"/>
    </row>
    <row r="23" spans="1:10" ht="20.25" customHeight="1" x14ac:dyDescent="0.25">
      <c r="A23" s="55" t="s">
        <v>319</v>
      </c>
      <c r="B23" s="56">
        <f>-'💶 Trésorerie sur 8 ans'!B13-'💶 Trésorerie sur 8 ans'!B16</f>
        <v>0</v>
      </c>
      <c r="C23" s="23">
        <f>-'💶 Trésorerie sur 8 ans'!C13-'💶 Trésorerie sur 8 ans'!C16</f>
        <v>0</v>
      </c>
      <c r="D23" s="23">
        <f>-'💶 Trésorerie sur 8 ans'!D13-'💶 Trésorerie sur 8 ans'!D16</f>
        <v>0</v>
      </c>
      <c r="E23" s="23">
        <f>-'💶 Trésorerie sur 8 ans'!E13-'💶 Trésorerie sur 8 ans'!E16</f>
        <v>0</v>
      </c>
      <c r="F23" s="23">
        <f>-'💶 Trésorerie sur 8 ans'!F13-'💶 Trésorerie sur 8 ans'!F16</f>
        <v>0</v>
      </c>
      <c r="G23" s="23">
        <f>-'💶 Trésorerie sur 8 ans'!G13-'💶 Trésorerie sur 8 ans'!G16</f>
        <v>0</v>
      </c>
      <c r="H23" s="23">
        <f>-'💶 Trésorerie sur 8 ans'!H13-'💶 Trésorerie sur 8 ans'!H16</f>
        <v>0</v>
      </c>
      <c r="I23" s="23">
        <f>-'💶 Trésorerie sur 8 ans'!I13-'💶 Trésorerie sur 8 ans'!I16</f>
        <v>0</v>
      </c>
      <c r="J23" s="58">
        <f>-'💶 Trésorerie sur 8 ans'!J13-'💶 Trésorerie sur 8 ans'!J16</f>
        <v>0</v>
      </c>
    </row>
    <row r="24" spans="1:10" ht="20.25" customHeight="1" x14ac:dyDescent="0.25">
      <c r="A24" s="28" t="s">
        <v>320</v>
      </c>
      <c r="B24" s="22">
        <f>-B23</f>
        <v>0</v>
      </c>
      <c r="C24" s="22">
        <f t="shared" ref="C24:J24" si="5">-C23</f>
        <v>0</v>
      </c>
      <c r="D24" s="22">
        <f t="shared" si="5"/>
        <v>0</v>
      </c>
      <c r="E24" s="22">
        <f t="shared" si="5"/>
        <v>0</v>
      </c>
      <c r="F24" s="22">
        <f t="shared" si="5"/>
        <v>0</v>
      </c>
      <c r="G24" s="22">
        <f t="shared" si="5"/>
        <v>0</v>
      </c>
      <c r="H24" s="22">
        <f t="shared" si="5"/>
        <v>0</v>
      </c>
      <c r="I24" s="22">
        <f t="shared" si="5"/>
        <v>0</v>
      </c>
      <c r="J24" s="66">
        <f t="shared" si="5"/>
        <v>0</v>
      </c>
    </row>
    <row r="25" spans="1:10" ht="20.25" customHeight="1" x14ac:dyDescent="0.25">
      <c r="J25" s="31"/>
    </row>
    <row r="26" spans="1:10" ht="20.25" customHeight="1" x14ac:dyDescent="0.25">
      <c r="A26" s="28" t="s">
        <v>321</v>
      </c>
      <c r="B26" s="20">
        <f>B21+B24</f>
        <v>0</v>
      </c>
      <c r="C26" s="20">
        <f t="shared" ref="C26:J26" si="6">C21+C24</f>
        <v>0</v>
      </c>
      <c r="D26" s="20">
        <f t="shared" si="6"/>
        <v>0</v>
      </c>
      <c r="E26" s="20">
        <f t="shared" si="6"/>
        <v>0</v>
      </c>
      <c r="F26" s="20">
        <f t="shared" si="6"/>
        <v>0</v>
      </c>
      <c r="G26" s="20">
        <f t="shared" si="6"/>
        <v>0</v>
      </c>
      <c r="H26" s="20">
        <f t="shared" si="6"/>
        <v>0</v>
      </c>
      <c r="I26" s="20">
        <f t="shared" si="6"/>
        <v>0</v>
      </c>
      <c r="J26" s="67">
        <f t="shared" si="6"/>
        <v>0</v>
      </c>
    </row>
    <row r="28" spans="1:10" ht="20.25" customHeight="1" x14ac:dyDescent="0.25">
      <c r="B28" s="193" t="s">
        <v>335</v>
      </c>
      <c r="C28" s="193"/>
      <c r="D28" s="193"/>
      <c r="E28" s="193"/>
      <c r="F28" s="193"/>
      <c r="G28" s="193"/>
      <c r="H28" s="193"/>
      <c r="I28" s="193"/>
      <c r="J28" s="193"/>
    </row>
    <row r="29" spans="1:10" ht="56.25" x14ac:dyDescent="0.25">
      <c r="A29" s="25" t="s">
        <v>322</v>
      </c>
      <c r="B29" s="25" t="s">
        <v>125</v>
      </c>
      <c r="C29" s="25" t="s">
        <v>96</v>
      </c>
      <c r="D29" s="25" t="s">
        <v>97</v>
      </c>
      <c r="E29" s="25" t="s">
        <v>98</v>
      </c>
      <c r="F29" s="25" t="s">
        <v>99</v>
      </c>
      <c r="G29" s="25" t="s">
        <v>100</v>
      </c>
      <c r="H29" s="25" t="s">
        <v>101</v>
      </c>
      <c r="I29" s="25" t="s">
        <v>102</v>
      </c>
      <c r="J29" s="25" t="s">
        <v>103</v>
      </c>
    </row>
    <row r="31" spans="1:10" ht="20.25" customHeight="1" x14ac:dyDescent="0.25">
      <c r="A31" s="59" t="s">
        <v>323</v>
      </c>
      <c r="B31" s="60">
        <f>B26</f>
        <v>0</v>
      </c>
      <c r="C31" s="22">
        <f t="shared" ref="C31:J31" si="7">C26</f>
        <v>0</v>
      </c>
      <c r="D31" s="22">
        <f t="shared" si="7"/>
        <v>0</v>
      </c>
      <c r="E31" s="22">
        <f t="shared" si="7"/>
        <v>0</v>
      </c>
      <c r="F31" s="22">
        <f t="shared" si="7"/>
        <v>0</v>
      </c>
      <c r="G31" s="22">
        <f t="shared" si="7"/>
        <v>0</v>
      </c>
      <c r="H31" s="22">
        <f t="shared" si="7"/>
        <v>0</v>
      </c>
      <c r="I31" s="49">
        <f t="shared" si="7"/>
        <v>0</v>
      </c>
      <c r="J31" s="65">
        <f t="shared" si="7"/>
        <v>0</v>
      </c>
    </row>
    <row r="32" spans="1:10" ht="20.25" customHeight="1" x14ac:dyDescent="0.25">
      <c r="A32" s="70" t="s">
        <v>324</v>
      </c>
      <c r="B32" s="23">
        <f>-'💶 Trésorerie sur 8 ans'!B12-'💶 Trésorerie sur 8 ans'!B15</f>
        <v>0</v>
      </c>
      <c r="C32" s="23">
        <f>-'💶 Trésorerie sur 8 ans'!C12-'💶 Trésorerie sur 8 ans'!C15</f>
        <v>0</v>
      </c>
      <c r="D32" s="23">
        <f>-'💶 Trésorerie sur 8 ans'!D12-'💶 Trésorerie sur 8 ans'!D15</f>
        <v>0</v>
      </c>
      <c r="E32" s="23">
        <f>-'💶 Trésorerie sur 8 ans'!E12-'💶 Trésorerie sur 8 ans'!E15</f>
        <v>0</v>
      </c>
      <c r="F32" s="23">
        <f>-'💶 Trésorerie sur 8 ans'!F12-'💶 Trésorerie sur 8 ans'!F15</f>
        <v>0</v>
      </c>
      <c r="G32" s="23">
        <f>-'💶 Trésorerie sur 8 ans'!G12-'💶 Trésorerie sur 8 ans'!G15</f>
        <v>0</v>
      </c>
      <c r="H32" s="23">
        <f>-'💶 Trésorerie sur 8 ans'!H12-'💶 Trésorerie sur 8 ans'!H15</f>
        <v>0</v>
      </c>
      <c r="I32" s="23">
        <f>-'💶 Trésorerie sur 8 ans'!I12-'💶 Trésorerie sur 8 ans'!I15</f>
        <v>0</v>
      </c>
      <c r="J32" s="58">
        <f>-'💶 Trésorerie sur 8 ans'!J12-'💶 Trésorerie sur 8 ans'!J15</f>
        <v>0</v>
      </c>
    </row>
    <row r="33" spans="1:10" ht="20.25" customHeight="1" x14ac:dyDescent="0.25">
      <c r="A33" s="68" t="s">
        <v>325</v>
      </c>
      <c r="B33" s="69">
        <f>B31-B32</f>
        <v>0</v>
      </c>
      <c r="C33" s="20">
        <f t="shared" ref="C33:J33" si="8">C31-C32</f>
        <v>0</v>
      </c>
      <c r="D33" s="20">
        <f t="shared" si="8"/>
        <v>0</v>
      </c>
      <c r="E33" s="20">
        <f t="shared" si="8"/>
        <v>0</v>
      </c>
      <c r="F33" s="20">
        <f t="shared" si="8"/>
        <v>0</v>
      </c>
      <c r="G33" s="20">
        <f t="shared" si="8"/>
        <v>0</v>
      </c>
      <c r="H33" s="20">
        <f t="shared" si="8"/>
        <v>0</v>
      </c>
      <c r="I33" s="20">
        <f t="shared" si="8"/>
        <v>0</v>
      </c>
      <c r="J33" s="21">
        <f t="shared" si="8"/>
        <v>0</v>
      </c>
    </row>
    <row r="34" spans="1:10" ht="20.25" customHeight="1" x14ac:dyDescent="0.25">
      <c r="A34" s="5"/>
      <c r="B34" s="18"/>
      <c r="C34" s="18"/>
      <c r="D34" s="18"/>
      <c r="E34" s="18"/>
      <c r="F34" s="18"/>
      <c r="G34" s="18"/>
      <c r="H34" s="18"/>
      <c r="I34" s="18"/>
      <c r="J34" s="18"/>
    </row>
    <row r="35" spans="1:10" ht="20.25" customHeight="1" x14ac:dyDescent="0.25">
      <c r="B35" s="193" t="s">
        <v>335</v>
      </c>
      <c r="C35" s="193"/>
      <c r="D35" s="193"/>
      <c r="E35" s="193"/>
      <c r="F35" s="193"/>
      <c r="G35" s="193"/>
      <c r="H35" s="193"/>
      <c r="I35" s="193"/>
      <c r="J35" s="193"/>
    </row>
    <row r="36" spans="1:10" ht="56.25" x14ac:dyDescent="0.25">
      <c r="A36" s="25" t="s">
        <v>326</v>
      </c>
      <c r="B36" s="25" t="s">
        <v>125</v>
      </c>
      <c r="C36" s="25" t="s">
        <v>96</v>
      </c>
      <c r="D36" s="25" t="s">
        <v>97</v>
      </c>
      <c r="E36" s="25" t="s">
        <v>98</v>
      </c>
      <c r="F36" s="25" t="s">
        <v>99</v>
      </c>
      <c r="G36" s="25" t="s">
        <v>100</v>
      </c>
      <c r="H36" s="25" t="s">
        <v>101</v>
      </c>
      <c r="I36" s="25" t="s">
        <v>102</v>
      </c>
      <c r="J36" s="25" t="s">
        <v>103</v>
      </c>
    </row>
    <row r="38" spans="1:10" ht="20.25" customHeight="1" x14ac:dyDescent="0.25">
      <c r="A38" s="63" t="s">
        <v>327</v>
      </c>
      <c r="B38" s="56">
        <f>'💶 Trésorerie sur 8 ans'!B11+'💶 Trésorerie sur 8 ans'!B14</f>
        <v>0</v>
      </c>
      <c r="C38" s="23">
        <f>'💶 Trésorerie sur 8 ans'!C11+'💶 Trésorerie sur 8 ans'!C14</f>
        <v>0</v>
      </c>
      <c r="D38" s="23">
        <f>'💶 Trésorerie sur 8 ans'!D11+'💶 Trésorerie sur 8 ans'!D14</f>
        <v>0</v>
      </c>
      <c r="E38" s="23">
        <f>'💶 Trésorerie sur 8 ans'!E11+'💶 Trésorerie sur 8 ans'!E14</f>
        <v>0</v>
      </c>
      <c r="F38" s="23">
        <f>'💶 Trésorerie sur 8 ans'!F11+'💶 Trésorerie sur 8 ans'!F14</f>
        <v>0</v>
      </c>
      <c r="G38" s="23">
        <f>'💶 Trésorerie sur 8 ans'!G11+'💶 Trésorerie sur 8 ans'!G14</f>
        <v>0</v>
      </c>
      <c r="H38" s="23">
        <f>'💶 Trésorerie sur 8 ans'!H11+'💶 Trésorerie sur 8 ans'!H14</f>
        <v>0</v>
      </c>
      <c r="I38" s="72">
        <f>'💶 Trésorerie sur 8 ans'!I11+'💶 Trésorerie sur 8 ans'!I14</f>
        <v>0</v>
      </c>
      <c r="J38" s="71">
        <f>'💶 Trésorerie sur 8 ans'!J11+'💶 Trésorerie sur 8 ans'!J14</f>
        <v>0</v>
      </c>
    </row>
    <row r="39" spans="1:10" ht="20.25" customHeight="1" x14ac:dyDescent="0.25">
      <c r="A39" s="62" t="s">
        <v>328</v>
      </c>
      <c r="B39" s="23">
        <f>B31</f>
        <v>0</v>
      </c>
      <c r="C39" s="23">
        <f t="shared" ref="C39:J39" si="9">C31</f>
        <v>0</v>
      </c>
      <c r="D39" s="23">
        <f t="shared" si="9"/>
        <v>0</v>
      </c>
      <c r="E39" s="23">
        <f t="shared" si="9"/>
        <v>0</v>
      </c>
      <c r="F39" s="23">
        <f t="shared" si="9"/>
        <v>0</v>
      </c>
      <c r="G39" s="23">
        <f t="shared" si="9"/>
        <v>0</v>
      </c>
      <c r="H39" s="23">
        <f t="shared" si="9"/>
        <v>0</v>
      </c>
      <c r="I39" s="23">
        <f t="shared" si="9"/>
        <v>0</v>
      </c>
      <c r="J39" s="58">
        <f t="shared" si="9"/>
        <v>0</v>
      </c>
    </row>
    <row r="40" spans="1:10" ht="20.25" customHeight="1" x14ac:dyDescent="0.25">
      <c r="A40" s="28" t="s">
        <v>329</v>
      </c>
      <c r="B40" s="22">
        <f>B38+B39</f>
        <v>0</v>
      </c>
      <c r="C40" s="22">
        <f t="shared" ref="C40:J40" si="10">C38+C39</f>
        <v>0</v>
      </c>
      <c r="D40" s="22">
        <f t="shared" si="10"/>
        <v>0</v>
      </c>
      <c r="E40" s="22">
        <f t="shared" si="10"/>
        <v>0</v>
      </c>
      <c r="F40" s="22">
        <f t="shared" si="10"/>
        <v>0</v>
      </c>
      <c r="G40" s="22">
        <f t="shared" si="10"/>
        <v>0</v>
      </c>
      <c r="H40" s="22">
        <f t="shared" si="10"/>
        <v>0</v>
      </c>
      <c r="I40" s="22">
        <f t="shared" si="10"/>
        <v>0</v>
      </c>
      <c r="J40" s="22">
        <f t="shared" si="10"/>
        <v>0</v>
      </c>
    </row>
    <row r="41" spans="1:10" ht="20.25" customHeight="1" x14ac:dyDescent="0.25">
      <c r="A41" s="19" t="s">
        <v>330</v>
      </c>
      <c r="B41" s="23">
        <f>B32</f>
        <v>0</v>
      </c>
      <c r="C41" s="23">
        <f t="shared" ref="C41:J41" si="11">C32</f>
        <v>0</v>
      </c>
      <c r="D41" s="23">
        <f t="shared" si="11"/>
        <v>0</v>
      </c>
      <c r="E41" s="23">
        <f t="shared" si="11"/>
        <v>0</v>
      </c>
      <c r="F41" s="23">
        <f t="shared" si="11"/>
        <v>0</v>
      </c>
      <c r="G41" s="23">
        <f t="shared" si="11"/>
        <v>0</v>
      </c>
      <c r="H41" s="23">
        <f t="shared" si="11"/>
        <v>0</v>
      </c>
      <c r="I41" s="23">
        <f t="shared" si="11"/>
        <v>0</v>
      </c>
      <c r="J41" s="23">
        <f t="shared" si="11"/>
        <v>0</v>
      </c>
    </row>
    <row r="42" spans="1:10" ht="20.25" customHeight="1" x14ac:dyDescent="0.25">
      <c r="A42" s="28" t="s">
        <v>331</v>
      </c>
      <c r="B42" s="22">
        <f>B41</f>
        <v>0</v>
      </c>
      <c r="C42" s="22">
        <f t="shared" ref="C42:J42" si="12">C41</f>
        <v>0</v>
      </c>
      <c r="D42" s="22">
        <f t="shared" si="12"/>
        <v>0</v>
      </c>
      <c r="E42" s="22">
        <f t="shared" si="12"/>
        <v>0</v>
      </c>
      <c r="F42" s="22">
        <f t="shared" si="12"/>
        <v>0</v>
      </c>
      <c r="G42" s="22">
        <f t="shared" si="12"/>
        <v>0</v>
      </c>
      <c r="H42" s="22">
        <f t="shared" si="12"/>
        <v>0</v>
      </c>
      <c r="I42" s="22">
        <f t="shared" si="12"/>
        <v>0</v>
      </c>
      <c r="J42" s="22">
        <f t="shared" si="12"/>
        <v>0</v>
      </c>
    </row>
    <row r="43" spans="1:10" ht="20.25" customHeight="1" x14ac:dyDescent="0.25">
      <c r="A43" s="19" t="s">
        <v>332</v>
      </c>
      <c r="B43" s="23">
        <f>B40-B42</f>
        <v>0</v>
      </c>
      <c r="C43" s="23">
        <f>C40-C42</f>
        <v>0</v>
      </c>
      <c r="D43" s="23">
        <f t="shared" ref="D43:J43" si="13">D40-D42</f>
        <v>0</v>
      </c>
      <c r="E43" s="23">
        <f t="shared" si="13"/>
        <v>0</v>
      </c>
      <c r="F43" s="23">
        <f t="shared" si="13"/>
        <v>0</v>
      </c>
      <c r="G43" s="23">
        <f t="shared" si="13"/>
        <v>0</v>
      </c>
      <c r="H43" s="23">
        <f t="shared" si="13"/>
        <v>0</v>
      </c>
      <c r="I43" s="23">
        <f t="shared" si="13"/>
        <v>0</v>
      </c>
      <c r="J43" s="23">
        <f t="shared" si="13"/>
        <v>0</v>
      </c>
    </row>
    <row r="44" spans="1:10" ht="20.25" customHeight="1" x14ac:dyDescent="0.25">
      <c r="A44" s="28" t="s">
        <v>333</v>
      </c>
      <c r="B44" s="22">
        <f>B43</f>
        <v>0</v>
      </c>
      <c r="C44" s="22">
        <f>B44+C43</f>
        <v>0</v>
      </c>
      <c r="D44" s="22">
        <f t="shared" ref="D44:J44" si="14">C44+D43</f>
        <v>0</v>
      </c>
      <c r="E44" s="22">
        <f t="shared" si="14"/>
        <v>0</v>
      </c>
      <c r="F44" s="22">
        <f t="shared" si="14"/>
        <v>0</v>
      </c>
      <c r="G44" s="22">
        <f t="shared" si="14"/>
        <v>0</v>
      </c>
      <c r="H44" s="22">
        <f t="shared" si="14"/>
        <v>0</v>
      </c>
      <c r="I44" s="22">
        <f t="shared" si="14"/>
        <v>0</v>
      </c>
      <c r="J44" s="22">
        <f t="shared" si="14"/>
        <v>0</v>
      </c>
    </row>
    <row r="45" spans="1:10" ht="20.25" customHeight="1" x14ac:dyDescent="0.25">
      <c r="A45" s="5"/>
      <c r="B45" s="18"/>
      <c r="C45" s="18"/>
      <c r="D45" s="18"/>
      <c r="E45" s="18"/>
      <c r="F45" s="18"/>
      <c r="G45" s="18"/>
      <c r="H45" s="18"/>
      <c r="I45" s="18"/>
      <c r="J45" s="18"/>
    </row>
  </sheetData>
  <sheetProtection sheet="1" selectLockedCells="1" selectUnlockedCells="1"/>
  <mergeCells count="5">
    <mergeCell ref="A1:J1"/>
    <mergeCell ref="A2:J2"/>
    <mergeCell ref="B7:J7"/>
    <mergeCell ref="B28:J28"/>
    <mergeCell ref="B35:J35"/>
  </mergeCells>
  <printOptions horizontalCentered="1"/>
  <pageMargins left="0.3" right="0.3" top="0.5" bottom="0.5" header="0.3" footer="0.3"/>
  <pageSetup paperSize="9" scale="57" fitToHeight="0" orientation="portrait" r:id="rId1"/>
  <ignoredErrors>
    <ignoredError sqref="B43"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53E7-3B89-4DE6-B8E1-2FC433140EE1}">
  <sheetPr codeName="Synthese">
    <tabColor rgb="FFD9CCE5"/>
    <pageSetUpPr fitToPage="1"/>
  </sheetPr>
  <dimension ref="A1:F1"/>
  <sheetViews>
    <sheetView showGridLines="0" workbookViewId="0">
      <selection activeCell="E11" sqref="E11"/>
    </sheetView>
  </sheetViews>
  <sheetFormatPr baseColWidth="10" defaultColWidth="11.42578125" defaultRowHeight="15" x14ac:dyDescent="0.25"/>
  <cols>
    <col min="1" max="1" width="44.140625" style="4" customWidth="1"/>
    <col min="2" max="2" width="16.5703125" style="4" customWidth="1"/>
    <col min="3" max="3" width="43.42578125" style="4" customWidth="1"/>
    <col min="4" max="16384" width="11.42578125" style="4"/>
  </cols>
  <sheetData>
    <row r="1" spans="1:6" ht="57" customHeight="1" x14ac:dyDescent="0.25">
      <c r="A1" s="194" t="s">
        <v>334</v>
      </c>
      <c r="B1" s="194"/>
      <c r="C1" s="194"/>
      <c r="D1" s="194"/>
      <c r="E1" s="194"/>
      <c r="F1" s="194"/>
    </row>
  </sheetData>
  <sheetProtection sheet="1" objects="1" scenarios="1"/>
  <mergeCells count="1">
    <mergeCell ref="A1:F1"/>
  </mergeCells>
  <printOptions horizontalCentered="1"/>
  <pageMargins left="0.3" right="0.3" top="0.5" bottom="0.5" header="0.3" footer="0.3"/>
  <pageSetup paperSize="9" scale="7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5</vt:i4>
      </vt:variant>
    </vt:vector>
  </HeadingPairs>
  <TitlesOfParts>
    <vt:vector size="13" baseType="lpstr">
      <vt:lpstr>📘 Notice</vt:lpstr>
      <vt:lpstr>🏠 Page de garde</vt:lpstr>
      <vt:lpstr>💡 Hypothèses</vt:lpstr>
      <vt:lpstr>🏗️ Investissements sur 8 ans</vt:lpstr>
      <vt:lpstr>⚙️ Exploitation sur 8 ans</vt:lpstr>
      <vt:lpstr>💶 Trésorerie sur 8 ans</vt:lpstr>
      <vt:lpstr>📊 États financiers sur 8 ans</vt:lpstr>
      <vt:lpstr>🧾 Synthèse</vt:lpstr>
      <vt:lpstr>'⚙️ Exploitation sur 8 ans'!Zone_d_impression</vt:lpstr>
      <vt:lpstr>'🏗️ Investissements sur 8 ans'!Zone_d_impression</vt:lpstr>
      <vt:lpstr>'💡 Hypothèses'!Zone_d_impression</vt:lpstr>
      <vt:lpstr>'💶 Trésorerie sur 8 ans'!Zone_d_impression</vt:lpstr>
      <vt:lpstr>'📊 États financiers sur 8 ans'!Zone_d_impression</vt:lpstr>
    </vt:vector>
  </TitlesOfParts>
  <Manager/>
  <Company>COCERTO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2025-08-12T14:47:06Z</cp:lastPrinted>
  <dcterms:created xsi:type="dcterms:W3CDTF">2025-06-20T07:56:04Z</dcterms:created>
  <dcterms:modified xsi:type="dcterms:W3CDTF">2025-08-12T17:09:58Z</dcterms:modified>
  <cp:category/>
  <cp:contentStatus/>
</cp:coreProperties>
</file>