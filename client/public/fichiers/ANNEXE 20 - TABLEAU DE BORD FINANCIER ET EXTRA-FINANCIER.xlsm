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https://219295cocerto-my.sharepoint.com/personal/lgombaud_cocerto_fr/Documents/SAUVEGARDE LOCAL LG/MEMOIRE DEC/MEMOIRE/ANNEXE/ANNEXE 20 - TABLEAU DE BORD FINANCIER ET EXTRA FINANCIER/"/>
    </mc:Choice>
  </mc:AlternateContent>
  <xr:revisionPtr revIDLastSave="12997" documentId="8_{5ED70BBF-8237-4833-8BB3-D1C11483852C}" xr6:coauthVersionLast="47" xr6:coauthVersionMax="47" xr10:uidLastSave="{8AAA783A-A576-429A-9BB5-79C9BE6EED9A}"/>
  <bookViews>
    <workbookView xWindow="-120" yWindow="-120" windowWidth="29040" windowHeight="17520" tabRatio="806" activeTab="2" xr2:uid="{00000000-000D-0000-FFFF-FFFF00000000}"/>
  </bookViews>
  <sheets>
    <sheet name="📘 Notice" sheetId="7" r:id="rId1"/>
    <sheet name="📊 Données comptables" sheetId="10" r:id="rId2"/>
    <sheet name="🗄️BDD" sheetId="11" r:id="rId3"/>
    <sheet name="🏭 Production" sheetId="6" r:id="rId4"/>
    <sheet name="💰 Finances" sheetId="2" r:id="rId5"/>
    <sheet name="🎓 Pédagogie" sheetId="5" r:id="rId6"/>
    <sheet name="🏛️ Gouvernance" sheetId="4" r:id="rId7"/>
    <sheet name="🧾 Synthèse" sheetId="12" r:id="rId8"/>
    <sheet name="📈Projections" sheetId="18" r:id="rId9"/>
    <sheet name="🟧Liaison PowerPoint" sheetId="23" state="hidden" r:id="rId10"/>
  </sheets>
  <definedNames>
    <definedName name="_xleta.IF" hidden="1" xlm="1">#NAME?</definedName>
    <definedName name="_xleta.SUM" hidden="1" xlm="1">#NAME?</definedName>
    <definedName name="Treso">'💰 Finances'!$J$39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6" l="1"/>
  <c r="E11" i="6"/>
  <c r="G6" i="6"/>
  <c r="F6" i="6"/>
  <c r="G4" i="6"/>
  <c r="F4" i="6"/>
  <c r="H28" i="2"/>
  <c r="D28" i="2"/>
  <c r="E28" i="2"/>
  <c r="C28" i="2"/>
  <c r="H27" i="2"/>
  <c r="D27" i="2"/>
  <c r="E27" i="2"/>
  <c r="C27" i="2"/>
  <c r="H26" i="2"/>
  <c r="D26" i="2"/>
  <c r="E26" i="2"/>
  <c r="C26" i="2"/>
  <c r="E40" i="11"/>
  <c r="D40" i="11"/>
  <c r="F40" i="11"/>
  <c r="C40" i="11"/>
  <c r="D38" i="11"/>
  <c r="E38" i="11"/>
  <c r="F38" i="11"/>
  <c r="C38" i="11"/>
  <c r="H22" i="2" l="1"/>
  <c r="D22" i="2"/>
  <c r="E22" i="2"/>
  <c r="F22" i="2" s="1"/>
  <c r="C22" i="2"/>
  <c r="H4" i="4"/>
  <c r="H5" i="4"/>
  <c r="H6" i="4"/>
  <c r="H8" i="4"/>
  <c r="H9" i="4"/>
  <c r="H5" i="6"/>
  <c r="H7" i="6"/>
  <c r="H8" i="6"/>
  <c r="H9" i="6"/>
  <c r="H11" i="6"/>
  <c r="M10" i="6" s="1"/>
  <c r="H12" i="6"/>
  <c r="H13" i="6"/>
  <c r="H14" i="6"/>
  <c r="H3" i="5"/>
  <c r="H4" i="5"/>
  <c r="H5" i="5"/>
  <c r="H6" i="5"/>
  <c r="H7" i="5"/>
  <c r="H8" i="5"/>
  <c r="H9" i="5"/>
  <c r="H10" i="5"/>
  <c r="H11" i="5"/>
  <c r="J11" i="5" s="1"/>
  <c r="H5" i="2"/>
  <c r="H6" i="2"/>
  <c r="L6" i="2" s="1"/>
  <c r="H8" i="2"/>
  <c r="H9" i="2"/>
  <c r="H10" i="2"/>
  <c r="H11" i="2"/>
  <c r="H12" i="2"/>
  <c r="H16" i="2"/>
  <c r="H17" i="2"/>
  <c r="H18" i="2"/>
  <c r="H19" i="2"/>
  <c r="H21" i="2"/>
  <c r="H25" i="2"/>
  <c r="K25" i="2" s="1"/>
  <c r="H20" i="2"/>
  <c r="H6" i="6"/>
  <c r="H4" i="6"/>
  <c r="J6" i="6" s="1"/>
  <c r="H7" i="2" l="1"/>
  <c r="J9" i="4"/>
  <c r="J7" i="6"/>
  <c r="G22" i="2"/>
  <c r="H15" i="2"/>
  <c r="H4" i="2"/>
  <c r="D8" i="4"/>
  <c r="E8" i="4"/>
  <c r="D9" i="4"/>
  <c r="E9" i="4"/>
  <c r="C9" i="4"/>
  <c r="C8" i="4"/>
  <c r="D4" i="4"/>
  <c r="B41" i="23" s="1"/>
  <c r="E4" i="4"/>
  <c r="B40" i="23" s="1"/>
  <c r="D5" i="4"/>
  <c r="B45" i="23" s="1"/>
  <c r="E5" i="4"/>
  <c r="B44" i="23" s="1"/>
  <c r="D6" i="4"/>
  <c r="E6" i="4"/>
  <c r="B42" i="23" s="1"/>
  <c r="C5" i="4"/>
  <c r="C6" i="4"/>
  <c r="C4" i="4"/>
  <c r="B46" i="23" l="1"/>
  <c r="J8" i="4"/>
  <c r="J10" i="4" s="1"/>
  <c r="G9" i="4"/>
  <c r="B47" i="23"/>
  <c r="B43" i="23"/>
  <c r="J5" i="4"/>
  <c r="J4" i="4"/>
  <c r="H14" i="2"/>
  <c r="F6" i="4"/>
  <c r="K18" i="2"/>
  <c r="H24" i="2"/>
  <c r="K15" i="2" s="1"/>
  <c r="G8" i="4"/>
  <c r="F5" i="4"/>
  <c r="F9" i="4"/>
  <c r="F8" i="4"/>
  <c r="G4" i="4"/>
  <c r="F4" i="4"/>
  <c r="G6" i="4"/>
  <c r="G5" i="4"/>
  <c r="C12" i="6" l="1"/>
  <c r="D12" i="6"/>
  <c r="B29" i="23" s="1"/>
  <c r="E12" i="6"/>
  <c r="C13" i="6"/>
  <c r="D13" i="6"/>
  <c r="B31" i="23" s="1"/>
  <c r="E13" i="6"/>
  <c r="C14" i="6"/>
  <c r="D14" i="6"/>
  <c r="B27" i="23" s="1"/>
  <c r="E14" i="6"/>
  <c r="B25" i="23"/>
  <c r="B24" i="23"/>
  <c r="C11" i="6"/>
  <c r="D5" i="6"/>
  <c r="E5" i="6"/>
  <c r="D7" i="6"/>
  <c r="E7" i="6"/>
  <c r="D8" i="6"/>
  <c r="E8" i="6"/>
  <c r="D9" i="6"/>
  <c r="B23" i="23" s="1"/>
  <c r="E9" i="6"/>
  <c r="B22" i="23" s="1"/>
  <c r="C5" i="6"/>
  <c r="C6" i="6"/>
  <c r="C7" i="6"/>
  <c r="C8" i="6"/>
  <c r="C9" i="6"/>
  <c r="J13" i="6" l="1"/>
  <c r="K13" i="6" s="1"/>
  <c r="B30" i="23"/>
  <c r="B28" i="23"/>
  <c r="K12" i="6"/>
  <c r="L12" i="6"/>
  <c r="B20" i="23"/>
  <c r="K7" i="6"/>
  <c r="J14" i="6"/>
  <c r="K14" i="6" s="1"/>
  <c r="B26" i="23"/>
  <c r="M11" i="6"/>
  <c r="L11" i="6"/>
  <c r="K11" i="6"/>
  <c r="G14" i="6"/>
  <c r="F14" i="6"/>
  <c r="F11" i="6"/>
  <c r="F12" i="6"/>
  <c r="F9" i="6"/>
  <c r="F7" i="6"/>
  <c r="F5" i="6"/>
  <c r="G13" i="6"/>
  <c r="F13" i="6"/>
  <c r="G8" i="6"/>
  <c r="G7" i="6"/>
  <c r="B21" i="23" s="1"/>
  <c r="F8" i="6"/>
  <c r="G5" i="6"/>
  <c r="G12" i="6"/>
  <c r="G11" i="6"/>
  <c r="G9" i="6"/>
  <c r="D3" i="5"/>
  <c r="E3" i="5"/>
  <c r="D4" i="5"/>
  <c r="E4" i="5"/>
  <c r="D5" i="5"/>
  <c r="E5" i="5"/>
  <c r="D6" i="5"/>
  <c r="E6" i="5"/>
  <c r="D7" i="5"/>
  <c r="E7" i="5"/>
  <c r="D8" i="5"/>
  <c r="E8" i="5"/>
  <c r="D9" i="5"/>
  <c r="E9" i="5"/>
  <c r="D10" i="5"/>
  <c r="E10" i="5"/>
  <c r="D11" i="5"/>
  <c r="E11" i="5"/>
  <c r="C4" i="5"/>
  <c r="C5" i="5"/>
  <c r="C6" i="5"/>
  <c r="C7" i="5"/>
  <c r="C8" i="5"/>
  <c r="C9" i="5"/>
  <c r="C10" i="5"/>
  <c r="C11" i="5"/>
  <c r="B38" i="23" s="1"/>
  <c r="C3" i="5"/>
  <c r="B34" i="23" l="1"/>
  <c r="F11" i="5"/>
  <c r="M13" i="5"/>
  <c r="B37" i="23"/>
  <c r="J10" i="5"/>
  <c r="K11" i="5" s="1"/>
  <c r="F4" i="5"/>
  <c r="M4" i="5"/>
  <c r="B36" i="23"/>
  <c r="B35" i="23"/>
  <c r="B33" i="23"/>
  <c r="M3" i="5"/>
  <c r="J3" i="5"/>
  <c r="F10" i="5"/>
  <c r="F3" i="5"/>
  <c r="F9" i="5"/>
  <c r="F8" i="5"/>
  <c r="F5" i="5"/>
  <c r="G10" i="5"/>
  <c r="G5" i="5"/>
  <c r="G4" i="5"/>
  <c r="G3" i="5"/>
  <c r="G9" i="5"/>
  <c r="G7" i="5"/>
  <c r="G8" i="5"/>
  <c r="G6" i="5"/>
  <c r="F6" i="5"/>
  <c r="F7" i="5"/>
  <c r="G11" i="5"/>
  <c r="C21" i="2"/>
  <c r="C20" i="2"/>
  <c r="C16" i="2"/>
  <c r="C17" i="2"/>
  <c r="C18" i="2"/>
  <c r="C19" i="2"/>
  <c r="C15" i="2"/>
  <c r="E20" i="2"/>
  <c r="D20" i="2"/>
  <c r="D18" i="11"/>
  <c r="D21" i="2" s="1"/>
  <c r="D17" i="11"/>
  <c r="D19" i="2" s="1"/>
  <c r="D15" i="11"/>
  <c r="D17" i="2" s="1"/>
  <c r="D16" i="11"/>
  <c r="D18" i="2" s="1"/>
  <c r="D14" i="11"/>
  <c r="D16" i="2" s="1"/>
  <c r="D13" i="11"/>
  <c r="D15" i="2" s="1"/>
  <c r="C25" i="2"/>
  <c r="C6" i="2"/>
  <c r="C8" i="2"/>
  <c r="C9" i="2"/>
  <c r="C10" i="2"/>
  <c r="C11" i="2"/>
  <c r="C12" i="2"/>
  <c r="C5" i="2"/>
  <c r="C4" i="6"/>
  <c r="C14" i="2" l="1"/>
  <c r="C7" i="2"/>
  <c r="C4" i="2" s="1"/>
  <c r="D14" i="2"/>
  <c r="G20" i="2"/>
  <c r="C24" i="2" l="1"/>
  <c r="E25" i="2" l="1"/>
  <c r="D25" i="2"/>
  <c r="L25" i="2" l="1"/>
  <c r="B11" i="23"/>
  <c r="F25" i="2"/>
  <c r="B14" i="23"/>
  <c r="G25" i="2"/>
  <c r="B12" i="23" s="1"/>
  <c r="F20" i="2"/>
  <c r="D8" i="2"/>
  <c r="E8" i="2"/>
  <c r="D9" i="2"/>
  <c r="E9" i="2"/>
  <c r="G9" i="2" s="1"/>
  <c r="D10" i="2"/>
  <c r="E10" i="2"/>
  <c r="G10" i="2" s="1"/>
  <c r="D11" i="2"/>
  <c r="E11" i="2"/>
  <c r="G11" i="2" s="1"/>
  <c r="D12" i="2"/>
  <c r="E12" i="2"/>
  <c r="G12" i="2" s="1"/>
  <c r="E5" i="2"/>
  <c r="D5" i="2"/>
  <c r="D7" i="2" l="1"/>
  <c r="E7" i="2"/>
  <c r="G8" i="2"/>
  <c r="K8" i="2"/>
  <c r="G5" i="2"/>
  <c r="K5" i="2"/>
  <c r="F10" i="2"/>
  <c r="F12" i="2"/>
  <c r="F11" i="2"/>
  <c r="F8" i="2"/>
  <c r="F9" i="2"/>
  <c r="F5" i="2"/>
  <c r="G7" i="2" l="1"/>
  <c r="F7" i="2"/>
  <c r="H3" i="10"/>
  <c r="E13" i="11" s="1"/>
  <c r="E15" i="2" s="1"/>
  <c r="G15" i="2" s="1"/>
  <c r="H4" i="10"/>
  <c r="I4" i="10" s="1"/>
  <c r="J4" i="10" s="1"/>
  <c r="H6" i="10"/>
  <c r="I6" i="10" s="1"/>
  <c r="J6" i="10" s="1"/>
  <c r="C82" i="10"/>
  <c r="D6" i="11" s="1"/>
  <c r="D69" i="10"/>
  <c r="E69" i="10"/>
  <c r="F69" i="10"/>
  <c r="G69" i="10"/>
  <c r="C69" i="10"/>
  <c r="D6" i="2" l="1"/>
  <c r="D4" i="2" s="1"/>
  <c r="I3" i="10"/>
  <c r="J3" i="10" s="1"/>
  <c r="G82" i="10"/>
  <c r="F82" i="10"/>
  <c r="E82" i="10"/>
  <c r="D82" i="10"/>
  <c r="H81" i="10"/>
  <c r="I81" i="10" s="1"/>
  <c r="J81" i="10" s="1"/>
  <c r="H80" i="10"/>
  <c r="I80" i="10" s="1"/>
  <c r="J80" i="10" s="1"/>
  <c r="H79" i="10"/>
  <c r="I79" i="10" s="1"/>
  <c r="J79" i="10" s="1"/>
  <c r="H78" i="10"/>
  <c r="I78" i="10" s="1"/>
  <c r="J78" i="10" s="1"/>
  <c r="H77" i="10"/>
  <c r="I77" i="10" s="1"/>
  <c r="J77" i="10" s="1"/>
  <c r="H76" i="10"/>
  <c r="I76" i="10" s="1"/>
  <c r="J76" i="10" s="1"/>
  <c r="H75" i="10"/>
  <c r="I75" i="10" s="1"/>
  <c r="J75" i="10" s="1"/>
  <c r="H74" i="10"/>
  <c r="I74" i="10" s="1"/>
  <c r="J74" i="10" s="1"/>
  <c r="H73" i="10"/>
  <c r="I73" i="10" s="1"/>
  <c r="J73" i="10" s="1"/>
  <c r="H72" i="10"/>
  <c r="I72" i="10" s="1"/>
  <c r="J72" i="10" s="1"/>
  <c r="H71" i="10"/>
  <c r="I71" i="10" s="1"/>
  <c r="J71" i="10" s="1"/>
  <c r="H70" i="10"/>
  <c r="H69" i="10"/>
  <c r="H68" i="10"/>
  <c r="E18" i="11" s="1"/>
  <c r="E21" i="2" s="1"/>
  <c r="H67" i="10"/>
  <c r="E17" i="11" s="1"/>
  <c r="E19" i="2" s="1"/>
  <c r="G19" i="2" s="1"/>
  <c r="H66" i="10"/>
  <c r="I66" i="10" s="1"/>
  <c r="J66" i="10" s="1"/>
  <c r="H65" i="10"/>
  <c r="I65" i="10" s="1"/>
  <c r="J65" i="10" s="1"/>
  <c r="H64" i="10"/>
  <c r="I64" i="10" s="1"/>
  <c r="J64" i="10" s="1"/>
  <c r="H63" i="10"/>
  <c r="I63" i="10" s="1"/>
  <c r="J63" i="10" s="1"/>
  <c r="H62" i="10"/>
  <c r="I62" i="10" s="1"/>
  <c r="J62" i="10" s="1"/>
  <c r="H61" i="10"/>
  <c r="I61" i="10" s="1"/>
  <c r="J61" i="10" s="1"/>
  <c r="H60" i="10"/>
  <c r="H59" i="10"/>
  <c r="I59" i="10" s="1"/>
  <c r="J59" i="10" s="1"/>
  <c r="H58" i="10"/>
  <c r="H57" i="10"/>
  <c r="I57" i="10" s="1"/>
  <c r="J57" i="10" s="1"/>
  <c r="H56" i="10"/>
  <c r="I56" i="10" s="1"/>
  <c r="J56" i="10" s="1"/>
  <c r="H55" i="10"/>
  <c r="I55" i="10" s="1"/>
  <c r="J55" i="10" s="1"/>
  <c r="H54" i="10"/>
  <c r="I54" i="10" s="1"/>
  <c r="J54" i="10" s="1"/>
  <c r="H53" i="10"/>
  <c r="I53" i="10" s="1"/>
  <c r="J53" i="10" s="1"/>
  <c r="H52" i="10"/>
  <c r="I52" i="10" s="1"/>
  <c r="J52" i="10" s="1"/>
  <c r="H51" i="10"/>
  <c r="I51" i="10" s="1"/>
  <c r="J51" i="10" s="1"/>
  <c r="H50" i="10"/>
  <c r="I50" i="10" s="1"/>
  <c r="J50" i="10" s="1"/>
  <c r="H49" i="10"/>
  <c r="E16" i="11" s="1"/>
  <c r="E18" i="2" s="1"/>
  <c r="G18" i="2" s="1"/>
  <c r="H48" i="10"/>
  <c r="I48" i="10" s="1"/>
  <c r="J48" i="10" s="1"/>
  <c r="H47" i="10"/>
  <c r="I47" i="10" s="1"/>
  <c r="J47" i="10" s="1"/>
  <c r="H46" i="10"/>
  <c r="H45" i="10"/>
  <c r="I45" i="10" s="1"/>
  <c r="J45" i="10" s="1"/>
  <c r="H44" i="10"/>
  <c r="I44" i="10" s="1"/>
  <c r="J44" i="10" s="1"/>
  <c r="H43" i="10"/>
  <c r="I43" i="10" s="1"/>
  <c r="J43" i="10" s="1"/>
  <c r="H42" i="10"/>
  <c r="I42" i="10" s="1"/>
  <c r="J42" i="10" s="1"/>
  <c r="H41" i="10"/>
  <c r="I41" i="10" s="1"/>
  <c r="J41" i="10" s="1"/>
  <c r="H40" i="10"/>
  <c r="I40" i="10" s="1"/>
  <c r="J40" i="10" s="1"/>
  <c r="H39" i="10"/>
  <c r="I39" i="10" s="1"/>
  <c r="J39" i="10" s="1"/>
  <c r="H38" i="10"/>
  <c r="I38" i="10" s="1"/>
  <c r="J38" i="10" s="1"/>
  <c r="H37" i="10"/>
  <c r="I37" i="10" s="1"/>
  <c r="J37" i="10" s="1"/>
  <c r="H36" i="10"/>
  <c r="I36" i="10" s="1"/>
  <c r="J36" i="10" s="1"/>
  <c r="H35" i="10"/>
  <c r="I35" i="10" s="1"/>
  <c r="J35" i="10" s="1"/>
  <c r="H34" i="10"/>
  <c r="I34" i="10" s="1"/>
  <c r="J34" i="10" s="1"/>
  <c r="H33" i="10"/>
  <c r="I33" i="10" s="1"/>
  <c r="J33" i="10" s="1"/>
  <c r="H32" i="10"/>
  <c r="I32" i="10" s="1"/>
  <c r="J32" i="10" s="1"/>
  <c r="H31" i="10"/>
  <c r="I31" i="10" s="1"/>
  <c r="J31" i="10" s="1"/>
  <c r="H30" i="10"/>
  <c r="I30" i="10" s="1"/>
  <c r="J30" i="10" s="1"/>
  <c r="H29" i="10"/>
  <c r="I29" i="10" s="1"/>
  <c r="J29" i="10" s="1"/>
  <c r="H28" i="10"/>
  <c r="I28" i="10" s="1"/>
  <c r="J28" i="10" s="1"/>
  <c r="H27" i="10"/>
  <c r="I27" i="10" s="1"/>
  <c r="J27" i="10" s="1"/>
  <c r="H26" i="10"/>
  <c r="I26" i="10" s="1"/>
  <c r="J26" i="10" s="1"/>
  <c r="H25" i="10"/>
  <c r="I25" i="10" s="1"/>
  <c r="J25" i="10" s="1"/>
  <c r="H24" i="10"/>
  <c r="I24" i="10" s="1"/>
  <c r="J24" i="10" s="1"/>
  <c r="H23" i="10"/>
  <c r="I23" i="10" s="1"/>
  <c r="J23" i="10" s="1"/>
  <c r="H22" i="10"/>
  <c r="I22" i="10" s="1"/>
  <c r="J22" i="10" s="1"/>
  <c r="H21" i="10"/>
  <c r="I21" i="10" s="1"/>
  <c r="J21" i="10" s="1"/>
  <c r="H20" i="10"/>
  <c r="I20" i="10" s="1"/>
  <c r="J20" i="10" s="1"/>
  <c r="H19" i="10"/>
  <c r="I19" i="10" s="1"/>
  <c r="J19" i="10" s="1"/>
  <c r="H18" i="10"/>
  <c r="I18" i="10" s="1"/>
  <c r="J18" i="10" s="1"/>
  <c r="H17" i="10"/>
  <c r="I17" i="10" s="1"/>
  <c r="J17" i="10" s="1"/>
  <c r="H16" i="10"/>
  <c r="I16" i="10" s="1"/>
  <c r="J16" i="10" s="1"/>
  <c r="H15" i="10"/>
  <c r="I15" i="10" s="1"/>
  <c r="J15" i="10" s="1"/>
  <c r="H14" i="10"/>
  <c r="I14" i="10" s="1"/>
  <c r="J14" i="10" s="1"/>
  <c r="H13" i="10"/>
  <c r="I13" i="10" s="1"/>
  <c r="J13" i="10" s="1"/>
  <c r="H12" i="10"/>
  <c r="I12" i="10" s="1"/>
  <c r="J12" i="10" s="1"/>
  <c r="H11" i="10"/>
  <c r="I11" i="10" s="1"/>
  <c r="J11" i="10" s="1"/>
  <c r="H10" i="10"/>
  <c r="I10" i="10" s="1"/>
  <c r="J10" i="10" s="1"/>
  <c r="H9" i="10"/>
  <c r="I9" i="10" s="1"/>
  <c r="J9" i="10" s="1"/>
  <c r="H8" i="10"/>
  <c r="I8" i="10" s="1"/>
  <c r="J8" i="10" s="1"/>
  <c r="H7" i="10"/>
  <c r="H5" i="10"/>
  <c r="I5" i="10" s="1"/>
  <c r="J5" i="10" s="1"/>
  <c r="G21" i="2" l="1"/>
  <c r="F21" i="2"/>
  <c r="I46" i="10"/>
  <c r="J46" i="10" s="1"/>
  <c r="E15" i="11"/>
  <c r="E17" i="2" s="1"/>
  <c r="G17" i="2" s="1"/>
  <c r="I60" i="10"/>
  <c r="J60" i="10" s="1"/>
  <c r="E14" i="11"/>
  <c r="E16" i="2" s="1"/>
  <c r="B10" i="23"/>
  <c r="D4" i="6"/>
  <c r="D6" i="6"/>
  <c r="I67" i="10"/>
  <c r="J67" i="10" s="1"/>
  <c r="F19" i="2"/>
  <c r="I68" i="10"/>
  <c r="J68" i="10" s="1"/>
  <c r="I49" i="10"/>
  <c r="J49" i="10" s="1"/>
  <c r="F18" i="2"/>
  <c r="I58" i="10"/>
  <c r="J58" i="10" s="1"/>
  <c r="I7" i="10"/>
  <c r="J7" i="10" s="1"/>
  <c r="F15" i="2"/>
  <c r="H82" i="10"/>
  <c r="E6" i="11" s="1"/>
  <c r="I70" i="10"/>
  <c r="J70" i="10" s="1"/>
  <c r="I69" i="10"/>
  <c r="J69" i="10" s="1"/>
  <c r="F17" i="2" l="1"/>
  <c r="F16" i="2"/>
  <c r="B15" i="23"/>
  <c r="I82" i="10"/>
  <c r="J82" i="10" s="1"/>
  <c r="E14" i="2"/>
  <c r="G16" i="2"/>
  <c r="E6" i="6"/>
  <c r="E4" i="6"/>
  <c r="B18" i="23" s="1"/>
  <c r="E6" i="2"/>
  <c r="D24" i="2"/>
  <c r="I5" i="2" l="1"/>
  <c r="E4" i="2"/>
  <c r="B5" i="23"/>
  <c r="J4" i="6"/>
  <c r="K6" i="6" s="1"/>
  <c r="K4" i="6"/>
  <c r="J5" i="6"/>
  <c r="K11" i="2"/>
  <c r="B13" i="23"/>
  <c r="G6" i="2"/>
  <c r="B6" i="23" s="1"/>
  <c r="K6" i="2"/>
  <c r="F14" i="2"/>
  <c r="G14" i="2"/>
  <c r="F6" i="2"/>
  <c r="K17" i="2" l="1"/>
  <c r="L18" i="2" s="1"/>
  <c r="B9" i="23"/>
  <c r="L4" i="6"/>
  <c r="B19" i="23"/>
  <c r="K9" i="2"/>
  <c r="M6" i="2"/>
  <c r="G4" i="2"/>
  <c r="K10" i="2"/>
  <c r="K12" i="2" s="1"/>
  <c r="G28" i="2"/>
  <c r="F28" i="2"/>
  <c r="F27" i="2"/>
  <c r="G26" i="2"/>
  <c r="F26" i="2"/>
  <c r="E24" i="2"/>
  <c r="F4" i="2"/>
  <c r="K14" i="2" l="1"/>
  <c r="L15" i="2" s="1"/>
  <c r="B7" i="23"/>
  <c r="F24" i="2"/>
  <c r="L14" i="2" s="1"/>
  <c r="G24" i="2"/>
  <c r="G27" i="2"/>
  <c r="B16" i="23" s="1"/>
  <c r="M14" i="2" l="1"/>
  <c r="B8"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tc={41411D3B-C869-472B-9DB8-BE729503CA34}</author>
    <author>tc={B3E0DD05-2DD2-4F6F-915C-535D624DBB58}</author>
  </authors>
  <commentList>
    <comment ref="A32" authorId="0" shapeId="0" xr:uid="{41411D3B-C869-472B-9DB8-BE729503CA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9 du coup ?</t>
      </text>
    </comment>
    <comment ref="A77" authorId="1" shapeId="0" xr:uid="{B3E0DD05-2DD2-4F6F-915C-535D624DBB5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Valider le texte</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futureMetadata>
  <valueMetadata count="6">
    <bk>
      <rc t="1" v="0"/>
    </bk>
    <bk>
      <rc t="1" v="1"/>
    </bk>
    <bk>
      <rc t="1" v="2"/>
    </bk>
    <bk>
      <rc t="1" v="3"/>
    </bk>
    <bk>
      <rc t="1" v="4"/>
    </bk>
    <bk>
      <rc t="1" v="5"/>
    </bk>
  </valueMetadata>
</metadata>
</file>

<file path=xl/sharedStrings.xml><?xml version="1.0" encoding="utf-8"?>
<sst xmlns="http://schemas.openxmlformats.org/spreadsheetml/2006/main" count="419" uniqueCount="278">
  <si>
    <t>NOTICE</t>
  </si>
  <si>
    <t>⚠️ PRÉREQUIS IMPORTANTS</t>
  </si>
  <si>
    <t>L'utilisation de cet outil est optimisé pour les écoles de production utilisant le plan comptable adapté proposé en Annexe 4.</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</si>
  <si>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</si>
  <si>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</si>
  <si>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</si>
  <si>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</si>
  <si>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t>L'Annexe 20 est un outil de pilotage qui centralise les données financières et extra-financières de l'école de production pour fournir une vision consolidée de son fonctionnement et accompagner la prise de décision stratégique.</t>
  </si>
  <si>
    <t>Elle permet de :</t>
  </si>
  <si>
    <r>
      <t xml:space="preserve">• Suivre et analyser les principaux indicateurs financiers et budgétaires pour une </t>
    </r>
    <r>
      <rPr>
        <b/>
        <sz val="12"/>
        <color rgb="FF000000"/>
        <rFont val="Calibri"/>
        <family val="2"/>
      </rPr>
      <t>gestion</t>
    </r>
    <r>
      <rPr>
        <sz val="12"/>
        <color rgb="FF000000"/>
        <rFont val="Calibri"/>
        <family val="2"/>
      </rPr>
      <t xml:space="preserve"> rigoureuse.</t>
    </r>
  </si>
  <si>
    <r>
      <t xml:space="preserve">• Intégrer des données extra-financières (pédagogiques, production, gouvernance) pour </t>
    </r>
    <r>
      <rPr>
        <b/>
        <sz val="12"/>
        <color rgb="FF000000"/>
        <rFont val="Calibri"/>
        <family val="2"/>
      </rPr>
      <t>refléter</t>
    </r>
    <r>
      <rPr>
        <sz val="12"/>
        <color rgb="FF000000"/>
        <rFont val="Calibri"/>
        <family val="2"/>
      </rPr>
      <t xml:space="preserve"> la réalité complète du projet éducatif.</t>
    </r>
  </si>
  <si>
    <r>
      <t xml:space="preserve">• Mettre en relation les dimensions financières et extra-financières pour évaluer la </t>
    </r>
    <r>
      <rPr>
        <b/>
        <sz val="12"/>
        <color rgb="FF000000"/>
        <rFont val="Calibri"/>
        <family val="2"/>
      </rPr>
      <t>performance</t>
    </r>
    <r>
      <rPr>
        <sz val="12"/>
        <color rgb="FF000000"/>
        <rFont val="Calibri"/>
        <family val="2"/>
      </rPr>
      <t xml:space="preserve"> globale de l'école.</t>
    </r>
  </si>
  <si>
    <r>
      <t xml:space="preserve">• Produire des tableaux de bord synthétiques pour </t>
    </r>
    <r>
      <rPr>
        <b/>
        <sz val="12"/>
        <color rgb="FF000000"/>
        <rFont val="Calibri"/>
        <family val="2"/>
      </rPr>
      <t>orienter</t>
    </r>
    <r>
      <rPr>
        <sz val="12"/>
        <color rgb="FF000000"/>
        <rFont val="Calibri"/>
        <family val="2"/>
      </rPr>
      <t xml:space="preserve"> les choix de gestion.</t>
    </r>
  </si>
  <si>
    <t>• Formuler les objectifs et prévisions de l’exercice N+1.</t>
  </si>
  <si>
    <r>
      <t xml:space="preserve">💡 Cet outil assure une </t>
    </r>
    <r>
      <rPr>
        <b/>
        <sz val="12"/>
        <color rgb="FF000000"/>
        <rFont val="Calibri"/>
        <family val="2"/>
      </rPr>
      <t>lecture unifiée</t>
    </r>
    <r>
      <rPr>
        <sz val="12"/>
        <color rgb="FF000000"/>
        <rFont val="Calibri"/>
        <family val="2"/>
      </rPr>
      <t xml:space="preserve"> et partagée des indicateurs clés, facilitant l'anticipation, l'évaluation des résultats et la valorisation de l'école.</t>
    </r>
  </si>
  <si>
    <t>🧱 Construction de l’outil</t>
  </si>
  <si>
    <r>
      <t xml:space="preserve">L’Annexe 20 est composée de </t>
    </r>
    <r>
      <rPr>
        <b/>
        <sz val="12"/>
        <color rgb="FF000000"/>
        <rFont val="Calibri"/>
        <family val="2"/>
      </rPr>
      <t xml:space="preserve">huit onglets </t>
    </r>
    <r>
      <rPr>
        <sz val="12"/>
        <color rgb="FF000000"/>
        <rFont val="Calibri"/>
        <family val="2"/>
      </rPr>
      <t xml:space="preserve"> :</t>
    </r>
  </si>
  <si>
    <t>Permet d’importer les données issues de l'Annexe 18.</t>
  </si>
  <si>
    <t>Faire un copier/coller des éléments chiffrés en deux parties:</t>
  </si>
  <si>
    <t>• Un premier copier/coller des comptes de charges (6.)</t>
  </si>
  <si>
    <t>• Un second copier/coller des comptes de produits (7.)</t>
  </si>
  <si>
    <t>Rappel:</t>
  </si>
  <si>
    <r>
      <t xml:space="preserve">• Les colonnes </t>
    </r>
    <r>
      <rPr>
        <b/>
        <sz val="12"/>
        <color rgb="FF000000"/>
        <rFont val="Calibri"/>
        <family val="2"/>
      </rPr>
      <t>Écart (€)</t>
    </r>
    <r>
      <rPr>
        <sz val="12"/>
        <color rgb="FF000000"/>
        <rFont val="Calibri"/>
        <family val="2"/>
      </rPr>
      <t xml:space="preserve"> et </t>
    </r>
    <r>
      <rPr>
        <b/>
        <sz val="12"/>
        <color rgb="FF000000"/>
        <rFont val="Calibri"/>
        <family val="2"/>
      </rPr>
      <t>Écart (%)</t>
    </r>
    <r>
      <rPr>
        <sz val="12"/>
        <color rgb="FF000000"/>
        <rFont val="Calibri"/>
        <family val="2"/>
      </rPr>
      <t xml:space="preserve"> permettent de mesurer l’avancement de chaque ligne par rapport au budget annuel.</t>
    </r>
  </si>
  <si>
    <r>
      <t xml:space="preserve">• Un </t>
    </r>
    <r>
      <rPr>
        <b/>
        <sz val="12"/>
        <color rgb="FF000000"/>
        <rFont val="Calibri"/>
        <family val="2"/>
      </rPr>
      <t>code couleur automatique</t>
    </r>
    <r>
      <rPr>
        <sz val="12"/>
        <color rgb="FF000000"/>
        <rFont val="Calibri"/>
        <family val="2"/>
      </rPr>
      <t xml:space="preserve"> signale visuellement les écarts :</t>
    </r>
  </si>
  <si>
    <r>
      <t xml:space="preserve">▫ </t>
    </r>
    <r>
      <rPr>
        <sz val="12"/>
        <color rgb="FF00B050"/>
        <rFont val="Calibri"/>
        <family val="2"/>
      </rPr>
      <t>Vert</t>
    </r>
    <r>
      <rPr>
        <sz val="12"/>
        <color rgb="FF000000"/>
        <rFont val="Calibri"/>
        <family val="2"/>
      </rPr>
      <t xml:space="preserve"> pour un dépassement de prévisions de produits.</t>
    </r>
  </si>
  <si>
    <r>
      <t xml:space="preserve">▫ </t>
    </r>
    <r>
      <rPr>
        <sz val="12"/>
        <color rgb="FFFF0000"/>
        <rFont val="Calibri"/>
        <family val="2"/>
      </rPr>
      <t>Rouge</t>
    </r>
    <r>
      <rPr>
        <sz val="12"/>
        <color rgb="FF000000"/>
        <rFont val="Calibri"/>
        <family val="2"/>
      </rPr>
      <t xml:space="preserve"> pour un dépassement de budget sur les charges.</t>
    </r>
  </si>
  <si>
    <t>Ces dernières sont ensuites automatiquement reprises dans chaque onglet dédié au noyau d'indicateur.</t>
  </si>
  <si>
    <t>Les quatre noyaux d'indicateurs permettent d'analyser de manière détaillée les indicateurs et les écarts.</t>
  </si>
  <si>
    <t xml:space="preserve">Cet onglet est le tableau de bord qui synthétise l'ensemble des indicateurs et donne une vision globale. </t>
  </si>
  <si>
    <t xml:space="preserve">Cet onglet est le tableau de bord des projections </t>
  </si>
  <si>
    <t>Compte</t>
  </si>
  <si>
    <t>Libellé</t>
  </si>
  <si>
    <t>Budget année N</t>
  </si>
  <si>
    <t>Réel T1</t>
  </si>
  <si>
    <t>Réel T2</t>
  </si>
  <si>
    <t>Réel T3</t>
  </si>
  <si>
    <t>Réel T4</t>
  </si>
  <si>
    <t>Réel cumulé</t>
  </si>
  <si>
    <t>Écart (€)</t>
  </si>
  <si>
    <t>Écart (%)</t>
  </si>
  <si>
    <t>T - Achats matières premières - Production</t>
  </si>
  <si>
    <t>T - Variation stock matière première - Production</t>
  </si>
  <si>
    <t>M - Variation stock fourniture de bureau et d'entretien - Mutualisé</t>
  </si>
  <si>
    <t>T - Sous-traitance technique - Production</t>
  </si>
  <si>
    <t>M - Électricité</t>
  </si>
  <si>
    <t>M - Carburant véhicules</t>
  </si>
  <si>
    <t>M - Achats de fournitures et petits équipements - Mutualisé</t>
  </si>
  <si>
    <t>NT - Fournitures - Pédagogique</t>
  </si>
  <si>
    <t>T - Petits équipements et consommables - Production</t>
  </si>
  <si>
    <t>M - Fournitures administratives - Mutualisé</t>
  </si>
  <si>
    <t>T - Gaz - Production</t>
  </si>
  <si>
    <t>T - Combustible industriel - Production</t>
  </si>
  <si>
    <t>T - Vêtements de travail et EPI - Production</t>
  </si>
  <si>
    <t>M - Loyers immobiliers</t>
  </si>
  <si>
    <t>M - Location de véhicule</t>
  </si>
  <si>
    <t>M - Locations diverses (matériel, mobilier, etc)</t>
  </si>
  <si>
    <t>T - Location de matériel - Production</t>
  </si>
  <si>
    <t>M - Charges locatives copropriétés</t>
  </si>
  <si>
    <t>M - Entretien et réparation - biens immobiliers - Mutualisé</t>
  </si>
  <si>
    <t>NT - Entretien - Pédagogique</t>
  </si>
  <si>
    <t>T - Entretien - Production</t>
  </si>
  <si>
    <t>M - Assurances</t>
  </si>
  <si>
    <t>M - Documentation générale</t>
  </si>
  <si>
    <t>M - Personnel intérimaire - Administratif</t>
  </si>
  <si>
    <t>NT - Vacataires pédagogiques - Intervenants extérieurs</t>
  </si>
  <si>
    <t>T - Personnel intérimaire - Maître professionnel</t>
  </si>
  <si>
    <t>M - Honoraires comptables</t>
  </si>
  <si>
    <t>M - Autres honoraires</t>
  </si>
  <si>
    <t>M - Frais d'actes et de contentieux</t>
  </si>
  <si>
    <t>NT - Publicité et communication à vocation éducative</t>
  </si>
  <si>
    <t>M - Catalogues et imprimés</t>
  </si>
  <si>
    <t>M - Cadeaux usagers</t>
  </si>
  <si>
    <t>M - Transports sur achats</t>
  </si>
  <si>
    <t>M - Frais de déplacement et missions</t>
  </si>
  <si>
    <t>M - Voyages et déplacements</t>
  </si>
  <si>
    <t>NT - Sorties scolaires</t>
  </si>
  <si>
    <t>M - Missions et réceptions</t>
  </si>
  <si>
    <t>M - Téléphonie et Internet</t>
  </si>
  <si>
    <t>M - Abonnement télésurveillance</t>
  </si>
  <si>
    <t>M - Affranchissement</t>
  </si>
  <si>
    <t>M - Hébergement web</t>
  </si>
  <si>
    <t>M - Services bancaires</t>
  </si>
  <si>
    <t>NT - Formations pédagogiques</t>
  </si>
  <si>
    <t>NT - Abonnement informatique</t>
  </si>
  <si>
    <t>NT - Abonnement Pronote</t>
  </si>
  <si>
    <t>M - Cotisations syndicales et autres</t>
  </si>
  <si>
    <t>M - Taxe sur les salaires - Mutualisé</t>
  </si>
  <si>
    <t>NT - Taxe sur les salaires - Pédagogique</t>
  </si>
  <si>
    <t>T - Taxe sur les salaires - Production</t>
  </si>
  <si>
    <t>M - Taxe d’apprentissage - Mutualisé</t>
  </si>
  <si>
    <t>T - Taxe d’apprentissage - Production</t>
  </si>
  <si>
    <t>M - Formation continue - Mutualisé</t>
  </si>
  <si>
    <t>NT - Formation continue - Pédagogique</t>
  </si>
  <si>
    <t>T - Formation continue - Production</t>
  </si>
  <si>
    <t>NT - Tva non récupérable</t>
  </si>
  <si>
    <t>M - Salaires - Personnel administratif</t>
  </si>
  <si>
    <t>NT - Salaires - Personnel éducatif</t>
  </si>
  <si>
    <t>T - Salaires - Maître professionnel</t>
  </si>
  <si>
    <t>M - Provision congés payés - Personnel administratif</t>
  </si>
  <si>
    <t>NT - Provision congés payés - Personnel éducatif</t>
  </si>
  <si>
    <t>T - Provision congés payés - Maître professionnel</t>
  </si>
  <si>
    <t>M - Charges sociales - Personnel administratif</t>
  </si>
  <si>
    <t>NT - Charges sociales - Personnel éducatif</t>
  </si>
  <si>
    <t>T - Charges sociales - Maître professionnel</t>
  </si>
  <si>
    <t>M - Intérêts sur emprunts bancaires</t>
  </si>
  <si>
    <t>M - Charges exceptionnelles diverses</t>
  </si>
  <si>
    <t xml:space="preserve">Charges cumulées </t>
  </si>
  <si>
    <t>T - Prestations de services 5,5%</t>
  </si>
  <si>
    <t>T - Prestations de services 10%</t>
  </si>
  <si>
    <t>T - Prestations de services 20%</t>
  </si>
  <si>
    <t>T - Prestations de services exonérées</t>
  </si>
  <si>
    <t>T - Ventes de marchandises 5,5%</t>
  </si>
  <si>
    <t>T - Ventes de marchandises 10%</t>
  </si>
  <si>
    <t>T - Ventes de marchandises 20%</t>
  </si>
  <si>
    <t>T - Ventes de marchandises exonérées</t>
  </si>
  <si>
    <t>T - Variation des produits en cours</t>
  </si>
  <si>
    <t>T - Variation des travaux en cours</t>
  </si>
  <si>
    <t>NT - Production immobilisée école</t>
  </si>
  <si>
    <t>T - Production immobilisée atelier</t>
  </si>
  <si>
    <t>Produits d'exploitation cumulés</t>
  </si>
  <si>
    <t>Indicateurs clés</t>
  </si>
  <si>
    <t>Unité</t>
  </si>
  <si>
    <t>Reprise données N-1</t>
  </si>
  <si>
    <t>Cible annuel N</t>
  </si>
  <si>
    <t>Réalisé annuel N</t>
  </si>
  <si>
    <t>Objectif N+1</t>
  </si>
  <si>
    <t>Source</t>
  </si>
  <si>
    <t>Notes / Justifications</t>
  </si>
  <si>
    <t>A. BUDGET FINANCIER</t>
  </si>
  <si>
    <t>Subventions d'exploitation</t>
  </si>
  <si>
    <t>€</t>
  </si>
  <si>
    <t>Chiffre d'affaires production</t>
  </si>
  <si>
    <t>Solde taxe apprentissage</t>
  </si>
  <si>
    <t>Mécénat / Dons</t>
  </si>
  <si>
    <t>Cotisations</t>
  </si>
  <si>
    <t>Quote-part subventions virée au compte de résultat</t>
  </si>
  <si>
    <t>Autres produits</t>
  </si>
  <si>
    <t>Achats de marchandises et sous traitance production</t>
  </si>
  <si>
    <t>Frais de personnel</t>
  </si>
  <si>
    <t>Autres achats et charges externes</t>
  </si>
  <si>
    <t>Impots et taxes</t>
  </si>
  <si>
    <t>Charges financières</t>
  </si>
  <si>
    <t>Autres charges</t>
  </si>
  <si>
    <t>Dotations aux amortissements et provisions</t>
  </si>
  <si>
    <t>Impôts sur les bénéfices</t>
  </si>
  <si>
    <t>Montant des investissements</t>
  </si>
  <si>
    <t>Trésorerie fin d’année</t>
  </si>
  <si>
    <t>Effectif total d'élèves</t>
  </si>
  <si>
    <t>Nb élèves</t>
  </si>
  <si>
    <t>Nombre de décrochages</t>
  </si>
  <si>
    <t>Taux d'assiduité moyen</t>
  </si>
  <si>
    <t>%</t>
  </si>
  <si>
    <t>Taux de réussite examens</t>
  </si>
  <si>
    <t>Taux de placement des élèves dans les entreprises partenaires</t>
  </si>
  <si>
    <t>Taux de poursuite d'études</t>
  </si>
  <si>
    <t>Taux d'emploi des diplômés (hors poursuite d'études) à 6 mois</t>
  </si>
  <si>
    <t>Taux de satisfaction Élèves</t>
  </si>
  <si>
    <t>Coût moyen par élève</t>
  </si>
  <si>
    <t>Annexe 18</t>
  </si>
  <si>
    <t xml:space="preserve">Total des charges </t>
  </si>
  <si>
    <t>Chiffre d’affaires moyen par élève</t>
  </si>
  <si>
    <t>Seuil de rentabilité de l’activité production</t>
  </si>
  <si>
    <t>Taux de marge brute sur activité de production</t>
  </si>
  <si>
    <t>Nombres de commandes clients</t>
  </si>
  <si>
    <t>Nb commandes</t>
  </si>
  <si>
    <t>Prendre une mesure représentative du volume d'activité</t>
  </si>
  <si>
    <t>Taux respect délais livraison</t>
  </si>
  <si>
    <t>Taux de réception des commandes livrées</t>
  </si>
  <si>
    <t>Nombe de nouvelles entreprises partenaires</t>
  </si>
  <si>
    <t>Nb entreprises</t>
  </si>
  <si>
    <t>Nombre de visites/RDV Entreprises</t>
  </si>
  <si>
    <t>Nb visites</t>
  </si>
  <si>
    <t>Taux de transformation visites/RDV en partenariat effectif</t>
  </si>
  <si>
    <t>Taux de fidélisation des entreprises partenaires</t>
  </si>
  <si>
    <t>Nombre réunions CAdm</t>
  </si>
  <si>
    <t>Nb réunions</t>
  </si>
  <si>
    <t>Nombre bénévoles actifs</t>
  </si>
  <si>
    <t>Nb bénévoles</t>
  </si>
  <si>
    <t>Nombre de partenariats institutionnels</t>
  </si>
  <si>
    <t>Nb partenariats</t>
  </si>
  <si>
    <t>Nombre événements promotion</t>
  </si>
  <si>
    <t>Nb événements</t>
  </si>
  <si>
    <t>Nombre publications médias/Communication diverses</t>
  </si>
  <si>
    <t>Nb publications</t>
  </si>
  <si>
    <t>Cible Annuel N</t>
  </si>
  <si>
    <t>Réalisé annuel</t>
  </si>
  <si>
    <t>Écart Réel/Cible</t>
  </si>
  <si>
    <t>Écart N/N-1</t>
  </si>
  <si>
    <t>A. REVENUS</t>
  </si>
  <si>
    <t>Total Revenus</t>
  </si>
  <si>
    <t>Autres ressources</t>
  </si>
  <si>
    <t>Revenus</t>
  </si>
  <si>
    <t>Charges</t>
  </si>
  <si>
    <t>Effet Ciseau</t>
  </si>
  <si>
    <t>B. CHARGES</t>
  </si>
  <si>
    <t>Total Charges</t>
  </si>
  <si>
    <t>Résultat net</t>
  </si>
  <si>
    <t>C. INDICATEURS CLÉS FINANCIERS</t>
  </si>
  <si>
    <t>Résultat Net (Revenus - Charges)</t>
  </si>
  <si>
    <t>Trésorerie disponible (fin de période)</t>
  </si>
  <si>
    <t>Taux de marge sur ventes de produits</t>
  </si>
  <si>
    <t>Poids des charges de personnel sur fonctionnement</t>
  </si>
  <si>
    <t>Nombre de jours de trésorerie sur charges fixes</t>
  </si>
  <si>
    <t>Nb</t>
  </si>
  <si>
    <t>A. ACTIVITÉ DE PRODUCTION</t>
  </si>
  <si>
    <t>vs N-1</t>
  </si>
  <si>
    <t>vs Cible</t>
  </si>
  <si>
    <t>B. DÉVELOPPEMENT PARTENARIAL</t>
  </si>
  <si>
    <t>Nombre nouvelles entreprises partenaires</t>
  </si>
  <si>
    <t>Nombre Visites/RDV Entreprises</t>
  </si>
  <si>
    <t>Taux de transformation Visites/RDV en partenariat effectif</t>
  </si>
  <si>
    <t>Effectif total élèves</t>
  </si>
  <si>
    <t>Taux de réussite aux examens</t>
  </si>
  <si>
    <t>Taux de satisfaction d'élèves</t>
  </si>
  <si>
    <t>Observations / Actions Clés</t>
  </si>
  <si>
    <t>A. GOUVERNANCE</t>
  </si>
  <si>
    <t>Nombre réunions Cadm</t>
  </si>
  <si>
    <t>B. COMMUNICATION &amp; VISIBILITÉ</t>
  </si>
  <si>
    <t>⚠️ Si l'Annexe 18 n'a pas été complétée de façon trimestrielle, il convient alors de saisir manuellement les données de budget et au réel. Pour le réel, il est possible de saisir en Réel T4 toutes les données de l'année.</t>
  </si>
  <si>
    <r>
      <rPr>
        <sz val="12"/>
        <color rgb="FF000000"/>
        <rFont val="Calibri"/>
        <family val="2"/>
      </rPr>
      <t xml:space="preserve">Outre les données intégrées de façon automatique, en lien avec l'onglet Données comptables, cet onglet permet de saisir l’ensemble des données complémentaires par noyau d'indicateurs : </t>
    </r>
    <r>
      <rPr>
        <b/>
        <sz val="12"/>
        <color rgb="FF000000"/>
        <rFont val="Calibri"/>
        <family val="2"/>
      </rPr>
      <t>Finances, Production, Pédagogie et Gouvernance.</t>
    </r>
  </si>
  <si>
    <t>Il y a 4 temporalités de saisie : données réelles N-1, cible N, réel N et objectif N+1</t>
  </si>
  <si>
    <t>LIAISON POWERPOINT</t>
  </si>
  <si>
    <t>Slide Bilan Financier</t>
  </si>
  <si>
    <t>Slide Bilan production &amp; relations entreprises</t>
  </si>
  <si>
    <t>Chiffre d'affaires HT</t>
  </si>
  <si>
    <t>Chiffre d'affaires HT N-1</t>
  </si>
  <si>
    <t>Résultat net N</t>
  </si>
  <si>
    <t>Résultat net N-1</t>
  </si>
  <si>
    <t>Taux de marge brute N</t>
  </si>
  <si>
    <t>Taux de marge brute objectif N</t>
  </si>
  <si>
    <t>Trésorerie disponible N</t>
  </si>
  <si>
    <t>Trésorerie disponible N-1</t>
  </si>
  <si>
    <t>Jours de trésorerie N</t>
  </si>
  <si>
    <t>Jours de trésorerie N-1</t>
  </si>
  <si>
    <t>Poids de charges de personnel N</t>
  </si>
  <si>
    <t>Poids de charges de personnel N-1</t>
  </si>
  <si>
    <t>Pour faire la liason automatique sur Powerpoint, les cellules ci-dessous sont "copiées" avec leurs mises en forme. Un changement de mise en forme/formule ici impactera directement l'annexe 21 - Modèle de rapport adapté.</t>
  </si>
  <si>
    <t>CA moyen par élève N</t>
  </si>
  <si>
    <t>Nombre de commandes N</t>
  </si>
  <si>
    <t>Nombre de commandes N-1</t>
  </si>
  <si>
    <t>Satisfaction clients N</t>
  </si>
  <si>
    <t>Satisfaction clients objectif</t>
  </si>
  <si>
    <t>Nouvelles entreprises partenaires N</t>
  </si>
  <si>
    <t>Nouvelles entreprises partenaires objectif</t>
  </si>
  <si>
    <t>Taux de fidélisation N</t>
  </si>
  <si>
    <t>Taux de fidélisation objectif</t>
  </si>
  <si>
    <t>Nombre de visites d'entreprises N</t>
  </si>
  <si>
    <t>Nombre de visites d'entreprises objectif</t>
  </si>
  <si>
    <t>Taux de transformation N</t>
  </si>
  <si>
    <t>Taux de transformation objectif</t>
  </si>
  <si>
    <t>CA moyen par élève Cible / CA moyen par élève N-1</t>
  </si>
  <si>
    <t>Slide Bilan Pédagogique</t>
  </si>
  <si>
    <t>Effectif élèves N</t>
  </si>
  <si>
    <t>Objectif élèves : / N-1 :</t>
  </si>
  <si>
    <t>Nombre de décrochages N :</t>
  </si>
  <si>
    <t>Objectif décrochages : / N-1 :</t>
  </si>
  <si>
    <t>Coût moyen d'un élève N</t>
  </si>
  <si>
    <t>Coût moyen d'un élève N-1</t>
  </si>
  <si>
    <t>Slide Gouvernance et communication</t>
  </si>
  <si>
    <t>Nombre de réunions Cadm N</t>
  </si>
  <si>
    <t>Réunions Objectif N : / N-1</t>
  </si>
  <si>
    <t>Partenariats Objectif N : / N-1</t>
  </si>
  <si>
    <t>Nombre de bénévoles :</t>
  </si>
  <si>
    <t>Bénévoles Objectif N : / N-1</t>
  </si>
  <si>
    <t>Nombre de partenariats N :</t>
  </si>
  <si>
    <t>Nombre événements comm N :</t>
  </si>
  <si>
    <t>Evenements comm Objectif N : / N-1</t>
  </si>
  <si>
    <t>DONNEES COMPTABLES</t>
  </si>
  <si>
    <t>BASE DE DONNEES</t>
  </si>
  <si>
    <t>TABLEAU DE BORD FINANCIER</t>
  </si>
  <si>
    <t>TABLEAU DE BORD PEDAGOGIE ET ELEVES</t>
  </si>
  <si>
    <t>TABLEAU DE BORD PRODUCTION ET RELATIONS ENTREPRISES</t>
  </si>
  <si>
    <t>TABLEAU DE BORD GOUVERNANCE ET COMMUNICATION</t>
  </si>
  <si>
    <t>D. BUDGET GOUVERNANCE ET COMMUNICATION</t>
  </si>
  <si>
    <t>C. BUDGET PRODUCTION ET ENTREPRISES</t>
  </si>
  <si>
    <t>B. BUDGET PÉDAGOGIE ET ÉLÈVES</t>
  </si>
  <si>
    <t>Cet onglet permet de faire la liaison dynamique entre l'annexe 20 et l'annexe 21 pour garantir la cohérence et concordance des données, et éviter la double saisie.</t>
  </si>
  <si>
    <t>Sous-total autres ressources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</si>
</sst>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0\ &quot;€&quot;;[Red]\-#,##0\ &quot;€&quot;"/>
    <numFmt numFmtId="43" formatCode="_-* #,##0.00_-;\-* #,##0.00_-;_-* &quot;-&quot;??_-;_-@_-"/>
    <numFmt numFmtId="164" formatCode="_-* #,##0_-;\-* #,##0_-;_-* &quot;-&quot;??_-;_-@_-"/>
    <numFmt numFmtId="165" formatCode="#,##0.00_ ;\-#,##0.00\ "/>
    <numFmt numFmtId="166" formatCode="#,##0_ ;\-#,##0\ "/>
    <numFmt numFmtId="167" formatCode="#,##0\ &quot;€&quot;"/>
    <numFmt numFmtId="168" formatCode="\+0.00%;\-0.00%;0.00%"/>
    <numFmt numFmtId="169" formatCode="\+0%;\-0%;0%"/>
    <numFmt numFmtId="170" formatCode="\+0;\-0;0"/>
    <numFmt numFmtId="171" formatCode="\+#,#00;\-#,#00;#,#00"/>
    <numFmt numFmtId="172" formatCode="\+#,#00\ &quot;€&quot;;\-#,#00\ &quot;€&quot;;#,#00\ &quot;€&quot;"/>
  </numFmts>
  <fonts count="30" x14ac:knownFonts="1">
    <font>
      <sz val="11"/>
      <color theme="1"/>
      <name val="Aptos Narrow"/>
      <family val="2"/>
      <scheme val="minor"/>
    </font>
    <font>
      <sz val="11"/>
      <color theme="1"/>
      <name val="Aptos Narrow"/>
      <family val="2"/>
      <scheme val="minor"/>
    </font>
    <font>
      <sz val="12"/>
      <color theme="1"/>
      <name val="Calibri"/>
      <family val="2"/>
    </font>
    <font>
      <i/>
      <sz val="12"/>
      <color theme="1"/>
      <name val="Calibri"/>
      <family val="2"/>
    </font>
    <font>
      <b/>
      <sz val="12"/>
      <color theme="1"/>
      <name val="Calibri"/>
      <family val="2"/>
    </font>
    <font>
      <b/>
      <sz val="14"/>
      <color theme="1"/>
      <name val="Calibri"/>
      <family val="2"/>
    </font>
    <font>
      <sz val="11"/>
      <color theme="1"/>
      <name val="Calibri"/>
      <family val="2"/>
    </font>
    <font>
      <b/>
      <sz val="16"/>
      <color rgb="FF333333"/>
      <name val="Calibri"/>
      <family val="2"/>
    </font>
    <font>
      <b/>
      <sz val="16"/>
      <color theme="1"/>
      <name val="Calibri"/>
      <family val="2"/>
    </font>
    <font>
      <b/>
      <sz val="16"/>
      <color theme="1"/>
      <name val="Calibri"/>
      <family val="2"/>
    </font>
    <font>
      <b/>
      <sz val="12"/>
      <color rgb="FF000000"/>
      <name val="Calibri"/>
      <family val="2"/>
    </font>
    <font>
      <sz val="12"/>
      <color rgb="FF000000"/>
      <name val="Calibri"/>
      <family val="2"/>
    </font>
    <font>
      <b/>
      <sz val="18"/>
      <color rgb="FF333333"/>
      <name val="Calibri"/>
      <family val="2"/>
    </font>
    <font>
      <b/>
      <i/>
      <sz val="12"/>
      <color theme="1"/>
      <name val="Calibri"/>
      <family val="2"/>
    </font>
    <font>
      <sz val="12"/>
      <name val="Calibri"/>
      <family val="2"/>
    </font>
    <font>
      <b/>
      <sz val="18"/>
      <color theme="0"/>
      <name val="Calibri"/>
      <family val="2"/>
    </font>
    <font>
      <sz val="12"/>
      <color rgb="FF000000"/>
      <name val="Calibri"/>
      <family val="2"/>
    </font>
    <font>
      <b/>
      <sz val="12"/>
      <color rgb="FF000000"/>
      <name val="Calibri"/>
      <family val="2"/>
    </font>
    <font>
      <sz val="12"/>
      <color rgb="FF00B050"/>
      <name val="Calibri"/>
      <family val="2"/>
    </font>
    <font>
      <sz val="12"/>
      <color rgb="FFFF0000"/>
      <name val="Calibri"/>
      <family val="2"/>
    </font>
    <font>
      <sz val="12"/>
      <color rgb="FF242424"/>
      <name val="Calibri"/>
      <family val="2"/>
    </font>
    <font>
      <b/>
      <sz val="20"/>
      <color rgb="FFD6AC44"/>
      <name val="Calibri"/>
      <family val="2"/>
    </font>
    <font>
      <sz val="18"/>
      <color rgb="FFF8F4F1"/>
      <name val="Calibri"/>
      <family val="2"/>
    </font>
    <font>
      <sz val="12"/>
      <color rgb="FFF8F4F1"/>
      <name val="Calibri"/>
      <family val="2"/>
    </font>
    <font>
      <b/>
      <sz val="20"/>
      <color rgb="FF224A26"/>
      <name val="Calibri"/>
      <family val="2"/>
    </font>
    <font>
      <sz val="11"/>
      <color rgb="FF333333"/>
      <name val="Calibri"/>
      <family val="2"/>
    </font>
    <font>
      <sz val="11"/>
      <color rgb="FFF8F4F1"/>
      <name val="Calibri"/>
      <family val="2"/>
    </font>
    <font>
      <sz val="11"/>
      <color rgb="FFF2F4F4"/>
      <name val="Calibri"/>
      <family val="2"/>
    </font>
    <font>
      <b/>
      <sz val="14"/>
      <color theme="0"/>
      <name val="Calibri"/>
      <family val="2"/>
    </font>
    <font>
      <sz val="12"/>
      <color rgb="FFECF0F1"/>
      <name val="Calibri"/>
      <family val="2"/>
    </font>
  </fonts>
  <fills count="20">
    <fill>
      <patternFill patternType="none"/>
    </fill>
    <fill>
      <patternFill patternType="gray125"/>
    </fill>
    <fill>
      <patternFill patternType="solid">
        <fgColor rgb="FFFFFFCC"/>
        <bgColor indexed="64"/>
      </patternFill>
    </fill>
    <fill>
      <patternFill patternType="solid">
        <fgColor rgb="FFC9D7F2"/>
        <bgColor indexed="64"/>
      </patternFill>
    </fill>
    <fill>
      <patternFill patternType="solid">
        <fgColor rgb="FF0F4761"/>
        <bgColor indexed="64"/>
      </patternFill>
    </fill>
    <fill>
      <patternFill patternType="solid">
        <fgColor rgb="FFB5D8C6"/>
        <bgColor indexed="64"/>
      </patternFill>
    </fill>
    <fill>
      <patternFill patternType="solid">
        <fgColor rgb="FFC6B3D8"/>
        <bgColor indexed="64"/>
      </patternFill>
    </fill>
    <fill>
      <patternFill patternType="solid">
        <fgColor rgb="FFF2F4F7"/>
        <bgColor indexed="64"/>
      </patternFill>
    </fill>
    <fill>
      <patternFill patternType="solid">
        <fgColor rgb="FFDDE3EA"/>
        <bgColor indexed="64"/>
      </patternFill>
    </fill>
    <fill>
      <patternFill patternType="solid">
        <fgColor rgb="FFFCE5CD"/>
        <bgColor indexed="64"/>
      </patternFill>
    </fill>
    <fill>
      <patternFill patternType="solid">
        <fgColor rgb="FFFFF2CC"/>
        <bgColor indexed="64"/>
      </patternFill>
    </fill>
    <fill>
      <patternFill patternType="solid">
        <fgColor theme="0"/>
        <bgColor indexed="64"/>
      </patternFill>
    </fill>
    <fill>
      <patternFill patternType="solid">
        <fgColor theme="3" tint="0.749992370372631"/>
        <bgColor indexed="64"/>
      </patternFill>
    </fill>
    <fill>
      <patternFill patternType="solid">
        <fgColor rgb="FFFBA7A9"/>
        <bgColor indexed="64"/>
      </patternFill>
    </fill>
    <fill>
      <patternFill patternType="solid">
        <fgColor rgb="FF268373"/>
        <bgColor indexed="64"/>
      </patternFill>
    </fill>
    <fill>
      <patternFill patternType="solid">
        <fgColor rgb="FFF5F7FA"/>
        <bgColor indexed="64"/>
      </patternFill>
    </fill>
    <fill>
      <patternFill patternType="solid">
        <fgColor rgb="FF224A26"/>
        <bgColor indexed="64"/>
      </patternFill>
    </fill>
    <fill>
      <patternFill patternType="solid">
        <fgColor rgb="FFD6AC44"/>
        <bgColor indexed="64"/>
      </patternFill>
    </fill>
    <fill>
      <patternFill patternType="solid">
        <fgColor rgb="FFD24726"/>
        <bgColor indexed="64"/>
      </patternFill>
    </fill>
    <fill>
      <patternFill patternType="solid">
        <fgColor rgb="FFF5F7F7"/>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style="medium">
        <color indexed="64"/>
      </right>
      <top/>
      <bottom/>
      <diagonal/>
    </border>
    <border>
      <left style="thin">
        <color rgb="FF000000"/>
      </left>
      <right/>
      <top style="thin">
        <color rgb="FF000000"/>
      </top>
      <bottom/>
      <diagonal/>
    </border>
  </borders>
  <cellStyleXfs count="3">
    <xf numFmtId="0" fontId="0" fillId="0" borderId="0"/>
    <xf numFmtId="9" fontId="1" fillId="0" borderId="0"/>
    <xf numFmtId="43" fontId="1" fillId="0" borderId="0" applyFont="0" applyFill="0" applyBorder="0" applyAlignment="0" applyProtection="0"/>
  </cellStyleXfs>
  <cellXfs count="171">
    <xf numFmtId="0" fontId="0" fillId="0" borderId="0" xfId="0"/>
    <xf numFmtId="0" fontId="2" fillId="0" borderId="0" xfId="0" applyFont="1"/>
    <xf numFmtId="0" fontId="2" fillId="0" borderId="0" xfId="0" applyFont="1" applyAlignment="1">
      <alignment horizontal="left"/>
    </xf>
    <xf numFmtId="0" fontId="6" fillId="0" borderId="0" xfId="0" applyFont="1"/>
    <xf numFmtId="0" fontId="5" fillId="7" borderId="0" xfId="0" applyFont="1" applyFill="1" applyAlignment="1">
      <alignment horizontal="center" vertical="center" wrapText="1"/>
    </xf>
    <xf numFmtId="0" fontId="2" fillId="0" borderId="3" xfId="0" applyFont="1" applyBorder="1"/>
    <xf numFmtId="0" fontId="4" fillId="8" borderId="0" xfId="0" applyFont="1" applyFill="1" applyAlignment="1">
      <alignment vertical="center" wrapText="1"/>
    </xf>
    <xf numFmtId="0" fontId="2" fillId="0" borderId="0" xfId="0" applyFont="1" applyAlignment="1">
      <alignment vertical="center"/>
    </xf>
    <xf numFmtId="4" fontId="2" fillId="10" borderId="1" xfId="2" applyNumberFormat="1" applyFont="1" applyFill="1" applyBorder="1" applyProtection="1">
      <protection locked="0"/>
    </xf>
    <xf numFmtId="4" fontId="2" fillId="0" borderId="1" xfId="2" applyNumberFormat="1" applyFont="1" applyFill="1" applyBorder="1" applyProtection="1"/>
    <xf numFmtId="9" fontId="2" fillId="0" borderId="1" xfId="1" applyFont="1" applyBorder="1"/>
    <xf numFmtId="0" fontId="13" fillId="0" borderId="1" xfId="0" applyFont="1" applyBorder="1" applyAlignment="1">
      <alignment horizontal="right"/>
    </xf>
    <xf numFmtId="4" fontId="13" fillId="0" borderId="1" xfId="2" applyNumberFormat="1" applyFont="1" applyBorder="1" applyProtection="1"/>
    <xf numFmtId="4" fontId="4" fillId="0" borderId="1" xfId="2" applyNumberFormat="1" applyFont="1" applyFill="1" applyBorder="1" applyProtection="1"/>
    <xf numFmtId="9" fontId="4" fillId="0" borderId="1" xfId="1" applyFont="1" applyBorder="1"/>
    <xf numFmtId="0" fontId="2" fillId="0" borderId="1" xfId="0" applyFont="1" applyBorder="1"/>
    <xf numFmtId="0" fontId="2" fillId="0" borderId="0" xfId="0" applyFont="1" applyAlignment="1">
      <alignment horizontal="center"/>
    </xf>
    <xf numFmtId="164" fontId="2" fillId="2" borderId="19" xfId="2" applyNumberFormat="1" applyFont="1" applyFill="1" applyBorder="1" applyProtection="1">
      <protection locked="0"/>
    </xf>
    <xf numFmtId="164" fontId="2" fillId="2" borderId="1" xfId="2" applyNumberFormat="1" applyFont="1" applyFill="1" applyBorder="1" applyProtection="1">
      <protection locked="0"/>
    </xf>
    <xf numFmtId="164" fontId="2" fillId="2" borderId="12" xfId="2" applyNumberFormat="1" applyFont="1" applyFill="1" applyBorder="1" applyProtection="1">
      <protection locked="0"/>
    </xf>
    <xf numFmtId="164" fontId="2" fillId="2" borderId="23" xfId="2" applyNumberFormat="1" applyFont="1" applyFill="1" applyBorder="1" applyProtection="1">
      <protection locked="0"/>
    </xf>
    <xf numFmtId="164" fontId="2" fillId="11" borderId="1" xfId="2" applyNumberFormat="1" applyFont="1" applyFill="1" applyBorder="1" applyProtection="1"/>
    <xf numFmtId="3" fontId="2" fillId="2" borderId="1" xfId="2" applyNumberFormat="1" applyFont="1" applyFill="1" applyBorder="1" applyProtection="1">
      <protection locked="0"/>
    </xf>
    <xf numFmtId="3" fontId="2" fillId="2" borderId="27" xfId="2" applyNumberFormat="1" applyFont="1" applyFill="1" applyBorder="1" applyProtection="1">
      <protection locked="0"/>
    </xf>
    <xf numFmtId="3" fontId="2" fillId="11" borderId="1" xfId="2" applyNumberFormat="1" applyFont="1" applyFill="1" applyBorder="1" applyProtection="1"/>
    <xf numFmtId="3" fontId="2" fillId="2" borderId="12" xfId="2" applyNumberFormat="1" applyFont="1" applyFill="1" applyBorder="1" applyProtection="1">
      <protection locked="0"/>
    </xf>
    <xf numFmtId="3" fontId="2" fillId="2" borderId="23" xfId="2" applyNumberFormat="1" applyFont="1" applyFill="1" applyBorder="1" applyProtection="1">
      <protection locked="0"/>
    </xf>
    <xf numFmtId="3" fontId="2" fillId="11" borderId="23" xfId="2" applyNumberFormat="1" applyFont="1" applyFill="1" applyBorder="1" applyProtection="1"/>
    <xf numFmtId="3" fontId="2" fillId="0" borderId="1" xfId="2" applyNumberFormat="1" applyFont="1" applyBorder="1"/>
    <xf numFmtId="10" fontId="2" fillId="0" borderId="1" xfId="1" applyNumberFormat="1" applyFont="1" applyBorder="1"/>
    <xf numFmtId="0" fontId="3" fillId="0" borderId="0" xfId="0" applyFont="1"/>
    <xf numFmtId="0" fontId="2" fillId="0" borderId="0" xfId="0" applyFont="1" applyAlignment="1">
      <alignment horizontal="left" vertical="center" indent="2"/>
    </xf>
    <xf numFmtId="2" fontId="2" fillId="0" borderId="0" xfId="0" applyNumberFormat="1" applyFont="1"/>
    <xf numFmtId="3" fontId="4" fillId="0" borderId="3" xfId="0" applyNumberFormat="1" applyFont="1" applyBorder="1"/>
    <xf numFmtId="3" fontId="2" fillId="0" borderId="3" xfId="0" applyNumberFormat="1" applyFont="1" applyBorder="1"/>
    <xf numFmtId="3" fontId="2" fillId="0" borderId="0" xfId="0" applyNumberFormat="1" applyFont="1" applyAlignment="1">
      <alignment horizontal="center"/>
    </xf>
    <xf numFmtId="3" fontId="2" fillId="0" borderId="3" xfId="1" applyNumberFormat="1" applyFont="1" applyBorder="1"/>
    <xf numFmtId="165" fontId="2" fillId="0" borderId="28" xfId="2" applyNumberFormat="1" applyFont="1" applyBorder="1" applyProtection="1"/>
    <xf numFmtId="165" fontId="2" fillId="0" borderId="1" xfId="2" applyNumberFormat="1" applyFont="1" applyBorder="1" applyProtection="1"/>
    <xf numFmtId="3" fontId="2" fillId="0" borderId="0" xfId="0" applyNumberFormat="1" applyFont="1"/>
    <xf numFmtId="165" fontId="2" fillId="0" borderId="5" xfId="2" applyNumberFormat="1" applyFont="1" applyBorder="1" applyProtection="1"/>
    <xf numFmtId="165" fontId="2" fillId="0" borderId="25" xfId="2" applyNumberFormat="1" applyFont="1" applyBorder="1" applyProtection="1"/>
    <xf numFmtId="164" fontId="2" fillId="11" borderId="23" xfId="2" applyNumberFormat="1" applyFont="1" applyFill="1" applyBorder="1" applyProtection="1"/>
    <xf numFmtId="164" fontId="2" fillId="11" borderId="12" xfId="2" applyNumberFormat="1" applyFont="1" applyFill="1" applyBorder="1" applyProtection="1"/>
    <xf numFmtId="10" fontId="2" fillId="2" borderId="1" xfId="1" applyNumberFormat="1" applyFont="1" applyFill="1" applyBorder="1" applyProtection="1">
      <protection locked="0"/>
    </xf>
    <xf numFmtId="10" fontId="2" fillId="2" borderId="12" xfId="1" applyNumberFormat="1" applyFont="1" applyFill="1" applyBorder="1" applyProtection="1">
      <protection locked="0"/>
    </xf>
    <xf numFmtId="167" fontId="2" fillId="0" borderId="0" xfId="0" applyNumberFormat="1" applyFont="1"/>
    <xf numFmtId="0" fontId="0" fillId="14" borderId="0" xfId="0" applyFill="1"/>
    <xf numFmtId="0" fontId="2" fillId="14" borderId="0" xfId="0" applyFont="1" applyFill="1"/>
    <xf numFmtId="3" fontId="2" fillId="0" borderId="4" xfId="0" applyNumberFormat="1" applyFont="1" applyBorder="1"/>
    <xf numFmtId="10" fontId="2" fillId="0" borderId="0" xfId="0" applyNumberFormat="1" applyFont="1"/>
    <xf numFmtId="10" fontId="0" fillId="14" borderId="0" xfId="0" applyNumberFormat="1" applyFill="1"/>
    <xf numFmtId="169" fontId="2" fillId="0" borderId="0" xfId="0" applyNumberFormat="1" applyFont="1"/>
    <xf numFmtId="168" fontId="2" fillId="0" borderId="0" xfId="0" applyNumberFormat="1" applyFont="1"/>
    <xf numFmtId="3" fontId="2" fillId="0" borderId="32" xfId="0" applyNumberFormat="1" applyFont="1" applyBorder="1"/>
    <xf numFmtId="168" fontId="2" fillId="0" borderId="1" xfId="0" applyNumberFormat="1" applyFont="1" applyBorder="1"/>
    <xf numFmtId="10" fontId="5" fillId="0" borderId="0" xfId="1" applyNumberFormat="1" applyFont="1"/>
    <xf numFmtId="171" fontId="2" fillId="0" borderId="1" xfId="0" applyNumberFormat="1" applyFont="1" applyBorder="1"/>
    <xf numFmtId="171" fontId="4" fillId="0" borderId="1" xfId="0" applyNumberFormat="1" applyFont="1" applyBorder="1"/>
    <xf numFmtId="172" fontId="2" fillId="0" borderId="1" xfId="0" applyNumberFormat="1" applyFont="1" applyBorder="1"/>
    <xf numFmtId="170" fontId="2" fillId="0" borderId="0" xfId="0" applyNumberFormat="1" applyFont="1"/>
    <xf numFmtId="0" fontId="2" fillId="0" borderId="0" xfId="0" applyFont="1" applyAlignment="1">
      <alignment horizontal="justify" vertical="center" wrapText="1"/>
    </xf>
    <xf numFmtId="0" fontId="14" fillId="0" borderId="0" xfId="0" applyFont="1" applyAlignment="1">
      <alignment horizontal="justify" vertical="center" wrapText="1"/>
    </xf>
    <xf numFmtId="0" fontId="2" fillId="10" borderId="0" xfId="0" applyFont="1" applyFill="1" applyAlignment="1" applyProtection="1">
      <alignment horizontal="justify" vertical="center" wrapText="1"/>
      <protection locked="0"/>
    </xf>
    <xf numFmtId="0" fontId="14" fillId="0" borderId="0" xfId="0" applyFont="1" applyAlignment="1">
      <alignment vertical="center" wrapText="1"/>
    </xf>
    <xf numFmtId="0" fontId="14" fillId="0" borderId="0" xfId="0" applyFont="1" applyAlignment="1">
      <alignment horizontal="justify" wrapText="1"/>
    </xf>
    <xf numFmtId="0" fontId="2" fillId="0" borderId="0" xfId="0" applyFont="1" applyAlignment="1">
      <alignment horizontal="justify" vertical="center"/>
    </xf>
    <xf numFmtId="0" fontId="2" fillId="0" borderId="0" xfId="0" applyFont="1" applyAlignment="1">
      <alignment wrapText="1"/>
    </xf>
    <xf numFmtId="0" fontId="2" fillId="0" borderId="0" xfId="0" applyFont="1" applyAlignment="1">
      <alignment horizontal="left" vertical="center" wrapText="1" indent="4"/>
    </xf>
    <xf numFmtId="0" fontId="2" fillId="0" borderId="0" xfId="0" applyFont="1" applyAlignment="1">
      <alignment horizontal="left" wrapText="1" indent="4"/>
    </xf>
    <xf numFmtId="0" fontId="16" fillId="0" borderId="0" xfId="0" applyFont="1" applyAlignment="1">
      <alignment horizontal="left" wrapText="1" indent="4"/>
    </xf>
    <xf numFmtId="0" fontId="16" fillId="0" borderId="0" xfId="0" applyFont="1" applyAlignment="1">
      <alignment horizontal="left" wrapText="1" indent="6"/>
    </xf>
    <xf numFmtId="3" fontId="2" fillId="0" borderId="1" xfId="1" applyNumberFormat="1" applyFont="1" applyBorder="1"/>
    <xf numFmtId="3" fontId="2" fillId="0" borderId="1" xfId="0" applyNumberFormat="1" applyFont="1" applyBorder="1"/>
    <xf numFmtId="0" fontId="16" fillId="0" borderId="0" xfId="0" applyFont="1" applyAlignment="1">
      <alignment horizontal="left" wrapText="1" indent="3"/>
    </xf>
    <xf numFmtId="0" fontId="16" fillId="0" borderId="0" xfId="0" applyFont="1" applyAlignment="1">
      <alignment wrapText="1"/>
    </xf>
    <xf numFmtId="0" fontId="2" fillId="0" borderId="0" xfId="0" applyFont="1" applyAlignment="1">
      <alignment horizontal="left" vertical="center" wrapText="1"/>
    </xf>
    <xf numFmtId="0" fontId="2" fillId="0" borderId="0" xfId="0" applyFont="1" applyAlignment="1">
      <alignment horizontal="left" wrapText="1"/>
    </xf>
    <xf numFmtId="0" fontId="16" fillId="0" borderId="0" xfId="0" applyFont="1" applyAlignment="1">
      <alignment horizontal="left" wrapText="1"/>
    </xf>
    <xf numFmtId="0" fontId="4" fillId="0" borderId="0" xfId="0" applyFont="1" applyAlignment="1">
      <alignment horizontal="left" wrapText="1"/>
    </xf>
    <xf numFmtId="0" fontId="20" fillId="0" borderId="0" xfId="0" applyFont="1" applyAlignment="1">
      <alignment horizontal="left" wrapText="1" indent="3"/>
    </xf>
    <xf numFmtId="0" fontId="2" fillId="0" borderId="0" xfId="0" applyFont="1" applyAlignment="1">
      <alignment horizontal="left" wrapText="1" indent="3"/>
    </xf>
    <xf numFmtId="0" fontId="17" fillId="0" borderId="0" xfId="0" applyFont="1" applyAlignment="1">
      <alignment wrapText="1"/>
    </xf>
    <xf numFmtId="0" fontId="4" fillId="0" borderId="0" xfId="0" applyFont="1"/>
    <xf numFmtId="0" fontId="16" fillId="0" borderId="0" xfId="0" applyFont="1" applyAlignment="1">
      <alignment horizontal="left" wrapText="1" indent="5"/>
    </xf>
    <xf numFmtId="0" fontId="7" fillId="3" borderId="6" xfId="0" applyFont="1" applyFill="1" applyBorder="1" applyAlignment="1">
      <alignment horizontal="center" vertical="center" wrapText="1"/>
    </xf>
    <xf numFmtId="170" fontId="2" fillId="0" borderId="1" xfId="0" applyNumberFormat="1" applyFont="1" applyBorder="1"/>
    <xf numFmtId="0" fontId="0" fillId="15" borderId="0" xfId="0" applyFill="1"/>
    <xf numFmtId="0" fontId="2" fillId="11" borderId="0" xfId="0" applyFont="1" applyFill="1"/>
    <xf numFmtId="3" fontId="2" fillId="0" borderId="0" xfId="0" applyNumberFormat="1" applyFont="1" applyAlignment="1">
      <alignment horizontal="left"/>
    </xf>
    <xf numFmtId="3" fontId="21" fillId="0" borderId="0" xfId="0" applyNumberFormat="1" applyFont="1" applyAlignment="1">
      <alignment horizontal="left"/>
    </xf>
    <xf numFmtId="167" fontId="21" fillId="0" borderId="0" xfId="0" applyNumberFormat="1" applyFont="1" applyAlignment="1">
      <alignment horizontal="left"/>
    </xf>
    <xf numFmtId="6" fontId="21" fillId="0" borderId="0" xfId="0" applyNumberFormat="1" applyFont="1" applyAlignment="1">
      <alignment horizontal="center" vertical="center" readingOrder="1"/>
    </xf>
    <xf numFmtId="6" fontId="22" fillId="0" borderId="0" xfId="0" applyNumberFormat="1" applyFont="1"/>
    <xf numFmtId="6" fontId="24" fillId="0" borderId="0" xfId="0" applyNumberFormat="1" applyFont="1" applyAlignment="1">
      <alignment horizontal="center" vertical="center" readingOrder="1"/>
    </xf>
    <xf numFmtId="0" fontId="26" fillId="0" borderId="0" xfId="0" applyFont="1" applyAlignment="1">
      <alignment horizontal="center" vertical="center" readingOrder="1"/>
    </xf>
    <xf numFmtId="6" fontId="21" fillId="0" borderId="0" xfId="0" applyNumberFormat="1" applyFont="1" applyAlignment="1">
      <alignment horizontal="left" vertical="center" readingOrder="1"/>
    </xf>
    <xf numFmtId="172" fontId="23" fillId="16" borderId="0" xfId="0" applyNumberFormat="1" applyFont="1" applyFill="1" applyAlignment="1">
      <alignment horizontal="left"/>
    </xf>
    <xf numFmtId="6" fontId="24" fillId="0" borderId="0" xfId="0" applyNumberFormat="1" applyFont="1" applyAlignment="1">
      <alignment horizontal="left" vertical="center" readingOrder="1"/>
    </xf>
    <xf numFmtId="172" fontId="25" fillId="0" borderId="0" xfId="0" applyNumberFormat="1" applyFont="1" applyAlignment="1">
      <alignment horizontal="left"/>
    </xf>
    <xf numFmtId="10" fontId="21" fillId="0" borderId="0" xfId="0" applyNumberFormat="1" applyFont="1" applyAlignment="1">
      <alignment horizontal="left"/>
    </xf>
    <xf numFmtId="10" fontId="27" fillId="16" borderId="0" xfId="0" applyNumberFormat="1" applyFont="1" applyFill="1" applyAlignment="1">
      <alignment horizontal="left"/>
    </xf>
    <xf numFmtId="0" fontId="25" fillId="0" borderId="0" xfId="0" applyFont="1" applyAlignment="1">
      <alignment horizontal="left" vertical="center" readingOrder="1"/>
    </xf>
    <xf numFmtId="3" fontId="21" fillId="0" borderId="0" xfId="0" applyNumberFormat="1" applyFont="1" applyAlignment="1">
      <alignment horizontal="left" vertical="center" readingOrder="1"/>
    </xf>
    <xf numFmtId="0" fontId="26" fillId="16" borderId="0" xfId="0" applyFont="1" applyFill="1" applyAlignment="1">
      <alignment horizontal="left" vertical="center" readingOrder="1"/>
    </xf>
    <xf numFmtId="10" fontId="24" fillId="0" borderId="0" xfId="0" applyNumberFormat="1" applyFont="1" applyAlignment="1">
      <alignment horizontal="left" vertical="center" readingOrder="1"/>
    </xf>
    <xf numFmtId="10" fontId="21" fillId="0" borderId="0" xfId="0" applyNumberFormat="1" applyFont="1" applyAlignment="1">
      <alignment horizontal="left" vertical="center" readingOrder="1"/>
    </xf>
    <xf numFmtId="9" fontId="24" fillId="0" borderId="0" xfId="0" applyNumberFormat="1" applyFont="1" applyAlignment="1">
      <alignment horizontal="left" vertical="center" readingOrder="1"/>
    </xf>
    <xf numFmtId="0" fontId="4" fillId="0" borderId="0" xfId="0" applyFont="1" applyAlignment="1">
      <alignment horizontal="left"/>
    </xf>
    <xf numFmtId="3" fontId="24" fillId="0" borderId="0" xfId="0" applyNumberFormat="1" applyFont="1" applyAlignment="1">
      <alignment horizontal="left"/>
    </xf>
    <xf numFmtId="0" fontId="2" fillId="0" borderId="0" xfId="0" quotePrefix="1" applyFont="1" applyAlignment="1">
      <alignment horizontal="left"/>
    </xf>
    <xf numFmtId="167" fontId="2" fillId="19" borderId="0" xfId="0" applyNumberFormat="1" applyFont="1" applyFill="1"/>
    <xf numFmtId="0" fontId="2" fillId="19" borderId="0" xfId="0" applyFont="1" applyFill="1"/>
    <xf numFmtId="172" fontId="2" fillId="19" borderId="1" xfId="0" applyNumberFormat="1" applyFont="1" applyFill="1" applyBorder="1"/>
    <xf numFmtId="10" fontId="1" fillId="19" borderId="0" xfId="1" applyNumberFormat="1" applyFill="1"/>
    <xf numFmtId="168" fontId="2" fillId="19" borderId="0" xfId="0" applyNumberFormat="1" applyFont="1" applyFill="1"/>
    <xf numFmtId="172" fontId="2" fillId="19" borderId="0" xfId="0" applyNumberFormat="1" applyFont="1" applyFill="1"/>
    <xf numFmtId="10" fontId="2" fillId="19" borderId="0" xfId="0" applyNumberFormat="1" applyFont="1" applyFill="1"/>
    <xf numFmtId="168" fontId="2" fillId="19" borderId="1" xfId="0" applyNumberFormat="1" applyFont="1" applyFill="1" applyBorder="1"/>
    <xf numFmtId="3" fontId="2" fillId="19" borderId="0" xfId="0" applyNumberFormat="1" applyFont="1" applyFill="1"/>
    <xf numFmtId="170" fontId="2" fillId="19" borderId="1" xfId="0" applyNumberFormat="1" applyFont="1" applyFill="1" applyBorder="1"/>
    <xf numFmtId="170" fontId="2" fillId="19" borderId="0" xfId="0" applyNumberFormat="1" applyFont="1" applyFill="1"/>
    <xf numFmtId="3" fontId="3" fillId="0" borderId="3" xfId="0" applyNumberFormat="1" applyFont="1" applyBorder="1"/>
    <xf numFmtId="171" fontId="3" fillId="0" borderId="1" xfId="0" applyNumberFormat="1" applyFont="1" applyBorder="1"/>
    <xf numFmtId="167" fontId="29" fillId="19" borderId="0" xfId="0" applyNumberFormat="1" applyFont="1" applyFill="1"/>
    <xf numFmtId="0" fontId="5" fillId="7" borderId="0" xfId="0" quotePrefix="1" applyFont="1" applyFill="1" applyAlignment="1">
      <alignment horizontal="center" vertical="center" wrapText="1"/>
    </xf>
    <xf numFmtId="0" fontId="4" fillId="8" borderId="7" xfId="0" applyFont="1" applyFill="1" applyBorder="1" applyAlignment="1">
      <alignment vertical="center" wrapText="1"/>
    </xf>
    <xf numFmtId="0" fontId="2" fillId="0" borderId="20" xfId="0" applyFont="1" applyBorder="1"/>
    <xf numFmtId="0" fontId="2" fillId="0" borderId="21" xfId="0" applyFont="1" applyBorder="1"/>
    <xf numFmtId="0" fontId="2" fillId="0" borderId="26" xfId="0" applyFont="1" applyBorder="1"/>
    <xf numFmtId="0" fontId="2" fillId="0" borderId="27" xfId="0" applyFont="1" applyBorder="1" applyAlignment="1">
      <alignment horizontal="center"/>
    </xf>
    <xf numFmtId="0" fontId="2" fillId="0" borderId="29" xfId="0" applyFont="1" applyBorder="1"/>
    <xf numFmtId="0" fontId="2" fillId="0" borderId="14" xfId="0" applyFont="1" applyBorder="1"/>
    <xf numFmtId="0" fontId="2" fillId="0" borderId="1" xfId="0" applyFont="1" applyBorder="1" applyAlignment="1">
      <alignment horizontal="center"/>
    </xf>
    <xf numFmtId="0" fontId="2" fillId="0" borderId="15" xfId="0" applyFont="1" applyBorder="1"/>
    <xf numFmtId="0" fontId="2" fillId="0" borderId="10" xfId="0" applyFont="1" applyBorder="1"/>
    <xf numFmtId="0" fontId="2" fillId="0" borderId="11" xfId="0" applyFont="1" applyBorder="1"/>
    <xf numFmtId="0" fontId="2" fillId="0" borderId="16" xfId="0" applyFont="1" applyBorder="1"/>
    <xf numFmtId="0" fontId="2" fillId="0" borderId="12" xfId="0" applyFont="1" applyBorder="1" applyAlignment="1">
      <alignment horizontal="center"/>
    </xf>
    <xf numFmtId="0" fontId="2" fillId="0" borderId="17" xfId="0" applyFont="1" applyBorder="1"/>
    <xf numFmtId="0" fontId="2" fillId="0" borderId="18" xfId="0" applyFont="1" applyBorder="1"/>
    <xf numFmtId="0" fontId="2" fillId="0" borderId="19" xfId="0" applyFont="1" applyBorder="1"/>
    <xf numFmtId="166" fontId="2" fillId="0" borderId="30" xfId="0" applyNumberFormat="1" applyFont="1" applyBorder="1"/>
    <xf numFmtId="0" fontId="2" fillId="0" borderId="31" xfId="0" applyFont="1" applyBorder="1"/>
    <xf numFmtId="166" fontId="2" fillId="0" borderId="1" xfId="0" applyNumberFormat="1" applyFont="1" applyBorder="1"/>
    <xf numFmtId="0" fontId="2" fillId="0" borderId="1" xfId="0" applyFont="1" applyBorder="1" applyAlignment="1">
      <alignment horizontal="left"/>
    </xf>
    <xf numFmtId="0" fontId="2" fillId="0" borderId="12" xfId="0" applyFont="1" applyBorder="1"/>
    <xf numFmtId="166" fontId="2" fillId="0" borderId="25" xfId="0" applyNumberFormat="1" applyFont="1" applyBorder="1"/>
    <xf numFmtId="0" fontId="2" fillId="0" borderId="0" xfId="0" applyFont="1" applyAlignment="1">
      <alignment horizontal="left" indent="1"/>
    </xf>
    <xf numFmtId="9" fontId="2" fillId="0" borderId="0" xfId="0" applyNumberFormat="1" applyFont="1"/>
    <xf numFmtId="0" fontId="4" fillId="8" borderId="22" xfId="0" applyFont="1" applyFill="1" applyBorder="1" applyAlignment="1">
      <alignment vertical="center" wrapText="1"/>
    </xf>
    <xf numFmtId="0" fontId="2" fillId="0" borderId="8" xfId="0" applyFont="1" applyBorder="1"/>
    <xf numFmtId="0" fontId="2" fillId="0" borderId="9" xfId="0" applyFont="1" applyBorder="1"/>
    <xf numFmtId="0" fontId="2" fillId="0" borderId="13" xfId="0" applyFont="1" applyBorder="1"/>
    <xf numFmtId="0" fontId="2" fillId="0" borderId="23" xfId="0" applyFont="1" applyBorder="1"/>
    <xf numFmtId="166" fontId="2" fillId="0" borderId="23" xfId="0" applyNumberFormat="1" applyFont="1" applyBorder="1"/>
    <xf numFmtId="0" fontId="2" fillId="0" borderId="24" xfId="0" applyFont="1" applyBorder="1"/>
    <xf numFmtId="10" fontId="2" fillId="11" borderId="1" xfId="1" applyNumberFormat="1" applyFont="1" applyFill="1" applyBorder="1"/>
    <xf numFmtId="9" fontId="2" fillId="0" borderId="12" xfId="1" applyFont="1" applyBorder="1"/>
    <xf numFmtId="0" fontId="12" fillId="9" borderId="6" xfId="0" applyFont="1" applyFill="1" applyBorder="1" applyAlignment="1">
      <alignment horizontal="center" vertical="center"/>
    </xf>
    <xf numFmtId="0" fontId="15" fillId="4" borderId="2" xfId="0" applyFont="1" applyFill="1" applyBorder="1" applyAlignment="1">
      <alignment horizontal="center" vertical="center"/>
    </xf>
    <xf numFmtId="0" fontId="8" fillId="12" borderId="2" xfId="0" applyFont="1" applyFill="1" applyBorder="1" applyAlignment="1">
      <alignment horizontal="center" vertical="center"/>
    </xf>
    <xf numFmtId="0" fontId="8" fillId="13" borderId="2" xfId="0" applyFont="1" applyFill="1" applyBorder="1" applyAlignment="1">
      <alignment horizontal="center" vertical="center"/>
    </xf>
    <xf numFmtId="0" fontId="8" fillId="5" borderId="0" xfId="0" applyFont="1" applyFill="1" applyAlignment="1">
      <alignment horizontal="center" vertical="center"/>
    </xf>
    <xf numFmtId="0" fontId="8" fillId="6" borderId="2" xfId="0" applyFont="1" applyFill="1" applyBorder="1" applyAlignment="1">
      <alignment horizontal="center" vertical="center"/>
    </xf>
    <xf numFmtId="0" fontId="9" fillId="6" borderId="2" xfId="0" applyFont="1" applyFill="1" applyBorder="1" applyAlignment="1">
      <alignment horizontal="center" vertical="center"/>
    </xf>
    <xf numFmtId="0" fontId="28" fillId="16" borderId="0" xfId="0" applyFont="1" applyFill="1" applyAlignment="1">
      <alignment horizontal="center" vertical="center" wrapText="1"/>
    </xf>
    <xf numFmtId="0" fontId="7" fillId="18" borderId="0" xfId="0" applyFont="1" applyFill="1" applyAlignment="1">
      <alignment horizontal="center" vertical="center" wrapText="1"/>
    </xf>
    <xf numFmtId="0" fontId="5" fillId="17" borderId="0" xfId="0" applyFont="1" applyFill="1" applyAlignment="1">
      <alignment horizontal="center" vertical="center" wrapText="1"/>
    </xf>
    <xf numFmtId="0" fontId="5" fillId="7" borderId="0" xfId="0" applyFont="1" applyFill="1" applyAlignment="1">
      <alignment horizontal="center" vertical="center" wrapText="1"/>
    </xf>
    <xf numFmtId="0" fontId="19" fillId="0" borderId="0" xfId="0" applyFont="1" applyAlignment="1">
      <alignment horizontal="left" vertical="center" wrapText="1"/>
    </xf>
  </cellXfs>
  <cellStyles count="3">
    <cellStyle name="Milliers" xfId="2" builtinId="3"/>
    <cellStyle name="Normal" xfId="0" builtinId="0"/>
    <cellStyle name="Pourcentage" xfId="1" builtinId="5"/>
  </cellStyles>
  <dxfs count="82">
    <dxf>
      <font>
        <color rgb="FF268373"/>
      </font>
    </dxf>
    <dxf>
      <font>
        <color rgb="FFE97132"/>
      </font>
    </dxf>
    <dxf>
      <font>
        <color rgb="FF2E7D6B"/>
      </font>
    </dxf>
    <dxf>
      <font>
        <color rgb="FFF57C00"/>
      </font>
    </dxf>
    <dxf>
      <font>
        <color rgb="FF268373"/>
      </font>
    </dxf>
    <dxf>
      <font>
        <color rgb="FFE97132"/>
      </font>
    </dxf>
    <dxf>
      <font>
        <color theme="9"/>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ill>
        <patternFill>
          <bgColor rgb="FF83E28E"/>
        </patternFill>
      </fill>
    </dxf>
    <dxf>
      <fill>
        <patternFill>
          <bgColor rgb="FFF17673"/>
        </patternFill>
      </fill>
    </dxf>
    <dxf>
      <fill>
        <patternFill>
          <bgColor rgb="FFF17673"/>
        </patternFill>
      </fill>
    </dxf>
    <dxf>
      <fill>
        <patternFill>
          <bgColor rgb="FF83E28E"/>
        </patternFill>
      </fill>
    </dxf>
    <dxf>
      <fill>
        <patternFill>
          <bgColor rgb="FFFF0000"/>
        </patternFill>
      </fill>
    </dxf>
  </dxfs>
  <tableStyles count="0" defaultTableStyle="TableStyleMedium2" defaultPivotStyle="PivotStyleLight16"/>
  <colors>
    <mruColors>
      <color rgb="FFF1C40F"/>
      <color rgb="FFECF0F1"/>
      <color rgb="FF19574D"/>
      <color rgb="FF8CA999"/>
      <color rgb="FF268373"/>
      <color rgb="FFF5F7F7"/>
      <color rgb="FF2E4057"/>
      <color rgb="FF1C2833"/>
      <color rgb="FF2ECC71"/>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58645458897453"/>
          <c:y val="0.18464818350252554"/>
          <c:w val="0.39432850224632982"/>
          <c:h val="0.60833644477946303"/>
        </c:manualLayout>
      </c:layout>
      <c:radarChart>
        <c:radarStyle val="marker"/>
        <c:varyColors val="0"/>
        <c:ser>
          <c:idx val="0"/>
          <c:order val="0"/>
          <c:spPr>
            <a:ln w="28575" cap="rnd">
              <a:solidFill>
                <a:srgbClr val="268373"/>
              </a:solidFill>
              <a:round/>
            </a:ln>
            <a:effectLst/>
          </c:spPr>
          <c:marker>
            <c:symbol val="circle"/>
            <c:size val="5"/>
            <c:spPr>
              <a:solidFill>
                <a:schemeClr val="bg1"/>
              </a:solidFill>
              <a:ln w="9525">
                <a:solidFill>
                  <a:srgbClr val="268373"/>
                </a:solidFill>
              </a:ln>
              <a:effectLst/>
            </c:spPr>
          </c:marker>
          <c:dLbls>
            <c:dLbl>
              <c:idx val="0"/>
              <c:layout>
                <c:manualLayout>
                  <c:x val="-9.4203511026663175E-2"/>
                  <c:y val="6.0017591770501234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4-D38F-41AD-B6D3-9000E1B29AF0}"/>
                </c:ext>
              </c:extLst>
            </c:dLbl>
            <c:dLbl>
              <c:idx val="1"/>
              <c:layout>
                <c:manualLayout>
                  <c:x val="6.9330983306752553E-2"/>
                  <c:y val="9.0394005762321303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3-D38F-41AD-B6D3-9000E1B29AF0}"/>
                </c:ext>
              </c:extLst>
            </c:dLbl>
            <c:dLbl>
              <c:idx val="2"/>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2-D38F-41AD-B6D3-9000E1B29AF0}"/>
                </c:ext>
              </c:extLst>
            </c:dLbl>
            <c:dLbl>
              <c:idx val="3"/>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1-D38F-41AD-B6D3-9000E1B29AF0}"/>
                </c:ext>
              </c:extLst>
            </c:dLbl>
            <c:dLbl>
              <c:idx val="4"/>
              <c:layout>
                <c:manualLayout>
                  <c:x val="0.10152046589796881"/>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9.4805001412905793E-2"/>
                      <c:h val="5.622080512898435E-2"/>
                    </c:manualLayout>
                  </c15:layout>
                </c:ext>
                <c:ext xmlns:c16="http://schemas.microsoft.com/office/drawing/2014/chart" uri="{C3380CC4-5D6E-409C-BE32-E72D297353CC}">
                  <c16:uniqueId val="{00000000-D38F-41AD-B6D3-9000E1B29AF0}"/>
                </c:ext>
              </c:extLst>
            </c:dLbl>
            <c:dLbl>
              <c:idx val="5"/>
              <c:layout>
                <c:manualLayout>
                  <c:x val="-8.6663729133440698E-2"/>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5-D38F-41AD-B6D3-9000E1B29AF0}"/>
                </c:ext>
              </c:extLst>
            </c:dLbl>
            <c:spPr>
              <a:noFill/>
              <a:ln>
                <a:noFill/>
              </a:ln>
              <a:effectLst/>
            </c:spPr>
            <c:txPr>
              <a:bodyPr rot="0" spcFirstLastPara="1" vertOverflow="clip" horzOverflow="clip" vert="horz" wrap="square" lIns="36000" tIns="19050" rIns="0" bIns="0" anchor="b" anchorCtr="1">
                <a:noAutofit/>
              </a:bodyPr>
              <a:lstStyle/>
              <a:p>
                <a:pPr>
                  <a:defRPr sz="10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Pédagogie'!$A$5:$A$10</c:f>
              <c:strCache>
                <c:ptCount val="6"/>
                <c:pt idx="0">
                  <c:v>Taux d'assiduité moyen</c:v>
                </c:pt>
                <c:pt idx="1">
                  <c:v>Taux de réussite aux examens</c:v>
                </c:pt>
                <c:pt idx="2">
                  <c:v>Taux de placement des élèves dans les entreprises partenaires</c:v>
                </c:pt>
                <c:pt idx="3">
                  <c:v>Taux de poursuite d'études</c:v>
                </c:pt>
                <c:pt idx="4">
                  <c:v>Taux d'emploi des diplômés (hors poursuite d'études) à 6 mois</c:v>
                </c:pt>
                <c:pt idx="5">
                  <c:v>Taux de satisfaction d'élèves</c:v>
                </c:pt>
              </c:strCache>
            </c:strRef>
          </c:cat>
          <c:val>
            <c:numRef>
              <c:f>'🎓 Pédagogie'!$E$5:$E$10</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7AD-44A0-AF82-71906E4DFEA8}"/>
            </c:ext>
          </c:extLst>
        </c:ser>
        <c:dLbls>
          <c:showLegendKey val="0"/>
          <c:showVal val="1"/>
          <c:showCatName val="0"/>
          <c:showSerName val="0"/>
          <c:showPercent val="0"/>
          <c:showBubbleSize val="0"/>
        </c:dLbls>
        <c:axId val="1985289184"/>
        <c:axId val="1985289664"/>
      </c:radarChart>
      <c:catAx>
        <c:axId val="19852891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1985289664"/>
        <c:crosses val="autoZero"/>
        <c:auto val="1"/>
        <c:lblAlgn val="ctr"/>
        <c:lblOffset val="100"/>
        <c:noMultiLvlLbl val="0"/>
      </c:catAx>
      <c:valAx>
        <c:axId val="19852896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98528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79683482340338"/>
          <c:y val="0"/>
          <c:w val="0.89419708900023864"/>
          <c:h val="1"/>
        </c:manualLayout>
      </c:layout>
      <c:doughnutChart>
        <c:varyColors val="1"/>
        <c:ser>
          <c:idx val="0"/>
          <c:order val="0"/>
          <c:dLbls>
            <c:delete val="1"/>
          </c:dLbls>
          <c:val>
            <c:numRef>
              <c:f>'🏭 Production'!$J$13:$K$13</c:f>
            </c:numRef>
          </c:val>
          <c:extLst>
            <c:ext xmlns:c16="http://schemas.microsoft.com/office/drawing/2014/chart" uri="{C3380CC4-5D6E-409C-BE32-E72D297353CC}">
              <c16:uniqueId val="{00000004-8213-49EF-B587-E5E3971FF8D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5400000" vert="horz" anchor="b" anchorCtr="0"/>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0549311130752826"/>
          <c:y val="0.17811834028524071"/>
          <c:w val="0.37986180639426032"/>
          <c:h val="0.64376284427498975"/>
        </c:manualLayout>
      </c:layout>
      <c:barChart>
        <c:barDir val="col"/>
        <c:grouping val="clustered"/>
        <c:varyColors val="0"/>
        <c:ser>
          <c:idx val="0"/>
          <c:order val="0"/>
          <c:spPr>
            <a:solidFill>
              <a:srgbClr val="268373"/>
            </a:solidFill>
            <a:ln>
              <a:noFill/>
            </a:ln>
            <a:effectLst/>
          </c:spPr>
          <c:invertIfNegative val="0"/>
          <c:dPt>
            <c:idx val="0"/>
            <c:invertIfNegative val="0"/>
            <c:bubble3D val="0"/>
            <c:spPr>
              <a:solidFill>
                <a:srgbClr val="F57C00"/>
              </a:solidFill>
              <a:ln>
                <a:noFill/>
              </a:ln>
              <a:effectLst/>
            </c:spPr>
            <c:extLst>
              <c:ext xmlns:c16="http://schemas.microsoft.com/office/drawing/2014/chart" uri="{C3380CC4-5D6E-409C-BE32-E72D297353CC}">
                <c16:uniqueId val="{00000001-672B-468E-B823-04060156CF6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Finances'!$J$10:$J$11</c:f>
              <c:strCache>
                <c:ptCount val="2"/>
                <c:pt idx="0">
                  <c:v>Revenus</c:v>
                </c:pt>
                <c:pt idx="1">
                  <c:v>Charges</c:v>
                </c:pt>
              </c:strCache>
            </c:strRef>
          </c:cat>
          <c:val>
            <c:numRef>
              <c:f>'💰 Finances'!$K$10:$K$11</c:f>
              <c:numCache>
                <c:formatCode>0.00%</c:formatCode>
                <c:ptCount val="2"/>
                <c:pt idx="0">
                  <c:v>0</c:v>
                </c:pt>
                <c:pt idx="1">
                  <c:v>0</c:v>
                </c:pt>
              </c:numCache>
            </c:numRef>
          </c:val>
          <c:extLst>
            <c:ext xmlns:c16="http://schemas.microsoft.com/office/drawing/2014/chart" uri="{C3380CC4-5D6E-409C-BE32-E72D297353CC}">
              <c16:uniqueId val="{00000002-D98D-4B7B-A867-7697697CA61F}"/>
            </c:ext>
          </c:extLst>
        </c:ser>
        <c:dLbls>
          <c:showLegendKey val="0"/>
          <c:showVal val="0"/>
          <c:showCatName val="0"/>
          <c:showSerName val="0"/>
          <c:showPercent val="0"/>
          <c:showBubbleSize val="0"/>
        </c:dLbls>
        <c:gapWidth val="100"/>
        <c:axId val="59250432"/>
        <c:axId val="59253792"/>
      </c:barChart>
      <c:catAx>
        <c:axId val="59250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3792"/>
        <c:crosses val="autoZero"/>
        <c:auto val="1"/>
        <c:lblAlgn val="ctr"/>
        <c:lblOffset val="100"/>
        <c:noMultiLvlLbl val="0"/>
      </c:catAx>
      <c:valAx>
        <c:axId val="5925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0432"/>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549305093261703"/>
          <c:y val="0.17811857786250512"/>
          <c:w val="0.37986180639426032"/>
          <c:h val="0.64376284427498975"/>
        </c:manualLayout>
      </c:layout>
      <c:pieChart>
        <c:varyColors val="1"/>
        <c:ser>
          <c:idx val="1"/>
          <c:order val="0"/>
          <c:tx>
            <c:strRef>
              <c:f>'💰 Finances'!$A$5:$A$7</c:f>
              <c:strCache>
                <c:ptCount val="3"/>
                <c:pt idx="0">
                  <c:v>Subventions d'exploitation</c:v>
                </c:pt>
                <c:pt idx="1">
                  <c:v>Chiffre d'affaires production</c:v>
                </c:pt>
                <c:pt idx="2">
                  <c:v>Sous-total autres ressources</c:v>
                </c:pt>
              </c:strCache>
            </c:strRef>
          </c:tx>
          <c:dPt>
            <c:idx val="0"/>
            <c:bubble3D val="0"/>
            <c:spPr>
              <a:solidFill>
                <a:srgbClr val="26837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D61A-453B-8BA1-26CDF0B64629}"/>
              </c:ext>
            </c:extLst>
          </c:dPt>
          <c:dPt>
            <c:idx val="1"/>
            <c:bubble3D val="0"/>
            <c:spPr>
              <a:solidFill>
                <a:srgbClr val="8CA999"/>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C-D61A-453B-8BA1-26CDF0B64629}"/>
              </c:ext>
            </c:extLst>
          </c:dPt>
          <c:dPt>
            <c:idx val="2"/>
            <c:bubble3D val="0"/>
            <c:spPr>
              <a:solidFill>
                <a:srgbClr val="19574D"/>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D61A-453B-8BA1-26CDF0B64629}"/>
              </c:ext>
            </c:extLst>
          </c:dPt>
          <c:dLbls>
            <c:dLbl>
              <c:idx val="0"/>
              <c:tx>
                <c:rich>
                  <a:bodyPr/>
                  <a:lstStyle/>
                  <a:p>
                    <a:r>
                      <a:rPr lang="en-US"/>
                      <a:t>Subventions d'exploitation</a:t>
                    </a:r>
                  </a:p>
                  <a:p>
                    <a:fld id="{15C34FB3-AC88-4E2D-93FD-8E1763D1090B}" type="PERCENTAGE">
                      <a:rPr lang="en-US"/>
                      <a:pPr/>
                      <a:t>[POURCENTAGE]</a:t>
                    </a:fld>
                    <a:endParaRPr lang="fr-FR"/>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B-D61A-453B-8BA1-26CDF0B64629}"/>
                </c:ext>
              </c:extLst>
            </c:dLbl>
            <c:dLbl>
              <c:idx val="1"/>
              <c:tx>
                <c:rich>
                  <a:bodyPr/>
                  <a:lstStyle/>
                  <a:p>
                    <a:r>
                      <a:rPr lang="en-US"/>
                      <a:t>CA</a:t>
                    </a:r>
                    <a:r>
                      <a:rPr lang="en-US" baseline="0"/>
                      <a:t> production</a:t>
                    </a:r>
                  </a:p>
                  <a:p>
                    <a:fld id="{428D8CA8-C075-4D90-BFC0-69B239B55648}" type="PERCENTAGE">
                      <a:rPr lang="en-US"/>
                      <a:pPr/>
                      <a:t>[POURCENTAGE]</a:t>
                    </a:fld>
                    <a:endParaRPr lang="fr-FR"/>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C-D61A-453B-8BA1-26CDF0B64629}"/>
                </c:ext>
              </c:extLst>
            </c:dLbl>
            <c:dLbl>
              <c:idx val="2"/>
              <c:tx>
                <c:rich>
                  <a:bodyPr/>
                  <a:lstStyle/>
                  <a:p>
                    <a:r>
                      <a:rPr lang="en-US"/>
                      <a:t>Autres ressources</a:t>
                    </a:r>
                  </a:p>
                  <a:p>
                    <a:fld id="{D473051B-9616-46A6-A07A-661CFE10082D}" type="PERCENTAGE">
                      <a:rPr lang="en-US"/>
                      <a:pPr/>
                      <a:t>[POURCENTAGE]</a:t>
                    </a:fld>
                    <a:endParaRPr lang="fr-FR"/>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D-D61A-453B-8BA1-26CDF0B6462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Finances'!$E$5:$E$7</c:f>
              <c:numCache>
                <c:formatCode>#,##0</c:formatCode>
                <c:ptCount val="3"/>
                <c:pt idx="0">
                  <c:v>0</c:v>
                </c:pt>
                <c:pt idx="1">
                  <c:v>0</c:v>
                </c:pt>
                <c:pt idx="2">
                  <c:v>0</c:v>
                </c:pt>
              </c:numCache>
            </c:numRef>
          </c:val>
          <c:extLst>
            <c:ext xmlns:c16="http://schemas.microsoft.com/office/drawing/2014/chart" uri="{C3380CC4-5D6E-409C-BE32-E72D297353CC}">
              <c16:uniqueId val="{0000003A-D61A-453B-8BA1-26CDF0B64629}"/>
            </c:ext>
          </c:extLst>
        </c:ser>
        <c:ser>
          <c:idx val="2"/>
          <c:order val="1"/>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Finances'!$K$5:$K$8</c:f>
            </c:numRef>
          </c:val>
          <c:extLst>
            <c:ext xmlns:c15="http://schemas.microsoft.com/office/drawing/2012/chart" uri="{02D57815-91ED-43cb-92C2-25804820EDAC}">
              <c15:filteredCategoryTitle>
                <c15:cat>
                  <c:multiLvlStrRef>
                    <c:extLst>
                      <c:ext uri="{02D57815-91ED-43cb-92C2-25804820EDAC}">
                        <c15:formulaRef>
                          <c15:sqref>'💰 Finances'!$J$5:$J$8</c15:sqref>
                        </c15:formulaRef>
                      </c:ext>
                    </c:extLst>
                  </c:multiLvlStrRef>
                </c15:cat>
              </c15:filteredCategoryTitle>
            </c:ext>
            <c:ext xmlns:c16="http://schemas.microsoft.com/office/drawing/2014/chart" uri="{C3380CC4-5D6E-409C-BE32-E72D297353CC}">
              <c16:uniqueId val="{0000003E-D61A-453B-8BA1-26CDF0B64629}"/>
            </c:ext>
          </c:extLst>
        </c:ser>
        <c:ser>
          <c:idx val="0"/>
          <c:order val="2"/>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Finances'!$K$5:$K$8</c:f>
            </c:numRef>
          </c:val>
          <c:extLst>
            <c:ext xmlns:c15="http://schemas.microsoft.com/office/drawing/2012/chart" uri="{02D57815-91ED-43cb-92C2-25804820EDAC}">
              <c15:filteredCategoryTitle>
                <c15:cat>
                  <c:multiLvlStrRef>
                    <c:extLst>
                      <c:ext uri="{02D57815-91ED-43cb-92C2-25804820EDAC}">
                        <c15:formulaRef>
                          <c15:sqref>'💰 Finances'!$J$5:$J$8</c15:sqref>
                        </c15:formulaRef>
                      </c:ext>
                    </c:extLst>
                  </c:multiLvlStrRef>
                </c15:cat>
              </c15:filteredCategoryTitle>
            </c:ext>
            <c:ext xmlns:c16="http://schemas.microsoft.com/office/drawing/2014/chart" uri="{C3380CC4-5D6E-409C-BE32-E72D297353CC}">
              <c16:uniqueId val="{00000039-D61A-453B-8BA1-26CDF0B6462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5.png"/><Relationship Id="rId18" Type="http://schemas.openxmlformats.org/officeDocument/2006/relationships/image" Target="../media/image20.svg"/><Relationship Id="rId26" Type="http://schemas.openxmlformats.org/officeDocument/2006/relationships/chart" Target="../charts/chart5.xml"/><Relationship Id="rId3" Type="http://schemas.openxmlformats.org/officeDocument/2006/relationships/chart" Target="../charts/chart3.xml"/><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19.png"/><Relationship Id="rId25" Type="http://schemas.openxmlformats.org/officeDocument/2006/relationships/image" Target="../media/image27.svg"/><Relationship Id="rId2" Type="http://schemas.openxmlformats.org/officeDocument/2006/relationships/chart" Target="../charts/chart2.xml"/><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chart" Target="../charts/chart1.xml"/><Relationship Id="rId6" Type="http://schemas.openxmlformats.org/officeDocument/2006/relationships/image" Target="../media/image8.svg"/><Relationship Id="rId11" Type="http://schemas.openxmlformats.org/officeDocument/2006/relationships/image" Target="../media/image13.png"/><Relationship Id="rId24" Type="http://schemas.openxmlformats.org/officeDocument/2006/relationships/image" Target="../media/image26.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12.svg"/><Relationship Id="rId19" Type="http://schemas.openxmlformats.org/officeDocument/2006/relationships/image" Target="../media/image21.png"/><Relationship Id="rId4" Type="http://schemas.openxmlformats.org/officeDocument/2006/relationships/chart" Target="../charts/chart4.xml"/><Relationship Id="rId9" Type="http://schemas.openxmlformats.org/officeDocument/2006/relationships/image" Target="../media/image11.png"/><Relationship Id="rId14" Type="http://schemas.openxmlformats.org/officeDocument/2006/relationships/image" Target="../media/image16.svg"/><Relationship Id="rId22" Type="http://schemas.openxmlformats.org/officeDocument/2006/relationships/image" Target="../media/image24.svg"/><Relationship Id="rId27"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1</xdr:col>
      <xdr:colOff>3175</xdr:colOff>
      <xdr:row>2</xdr:row>
      <xdr:rowOff>31750</xdr:rowOff>
    </xdr:from>
    <xdr:to>
      <xdr:col>18</xdr:col>
      <xdr:colOff>687916</xdr:colOff>
      <xdr:row>5</xdr:row>
      <xdr:rowOff>79376</xdr:rowOff>
    </xdr:to>
    <xdr:sp macro="" textlink="">
      <xdr:nvSpPr>
        <xdr:cNvPr id="4" name="Rectangle : coins arrondis 3">
          <a:extLst>
            <a:ext uri="{FF2B5EF4-FFF2-40B4-BE49-F238E27FC236}">
              <a16:creationId xmlns:a16="http://schemas.microsoft.com/office/drawing/2014/main" id="{BF173ABF-F0A3-4E11-BDB9-D8AEA978E0E2}"/>
            </a:ext>
          </a:extLst>
        </xdr:cNvPr>
        <xdr:cNvSpPr/>
      </xdr:nvSpPr>
      <xdr:spPr>
        <a:xfrm>
          <a:off x="246592" y="476250"/>
          <a:ext cx="13638741" cy="650876"/>
        </a:xfrm>
        <a:prstGeom prst="roundRect">
          <a:avLst>
            <a:gd name="adj" fmla="val 50000"/>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7D6B"/>
              </a:solidFill>
              <a:latin typeface="Calibri" panose="020F0502020204030204" pitchFamily="34" charset="0"/>
              <a:ea typeface="Calibri" panose="020F0502020204030204" pitchFamily="34" charset="0"/>
              <a:cs typeface="Calibri" panose="020F0502020204030204" pitchFamily="34" charset="0"/>
            </a:rPr>
            <a:t>Tableau de bord - Indicateurs clés : École de production Alpha - 31/08/2024</a:t>
          </a:r>
        </a:p>
      </xdr:txBody>
    </xdr:sp>
    <xdr:clientData/>
  </xdr:twoCellAnchor>
  <xdr:twoCellAnchor>
    <xdr:from>
      <xdr:col>5</xdr:col>
      <xdr:colOff>171449</xdr:colOff>
      <xdr:row>7</xdr:row>
      <xdr:rowOff>28575</xdr:rowOff>
    </xdr:from>
    <xdr:to>
      <xdr:col>7</xdr:col>
      <xdr:colOff>352424</xdr:colOff>
      <xdr:row>13</xdr:row>
      <xdr:rowOff>171451</xdr:rowOff>
    </xdr:to>
    <xdr:graphicFrame macro="">
      <xdr:nvGraphicFramePr>
        <xdr:cNvPr id="8" name="Graphique 7">
          <a:extLst>
            <a:ext uri="{FF2B5EF4-FFF2-40B4-BE49-F238E27FC236}">
              <a16:creationId xmlns:a16="http://schemas.microsoft.com/office/drawing/2014/main" id="{77E6592A-6BD4-4F37-9EF3-E175B1E86C22}"/>
            </a:ext>
            <a:ext uri="{147F2762-F138-4A5C-976F-8EAC2B608ADB}">
              <a16:predDERef xmlns:a16="http://schemas.microsoft.com/office/drawing/2014/main" pred="{BF173ABF-F0A3-4E11-BDB9-D8AEA978E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214842</xdr:colOff>
      <xdr:row>14</xdr:row>
      <xdr:rowOff>110065</xdr:rowOff>
    </xdr:from>
    <xdr:to>
      <xdr:col>7</xdr:col>
      <xdr:colOff>356418</xdr:colOff>
      <xdr:row>31</xdr:row>
      <xdr:rowOff>10583</xdr:rowOff>
    </xdr:to>
    <xdr:sp macro="" textlink="">
      <xdr:nvSpPr>
        <xdr:cNvPr id="12" name="Rectangle : coins arrondis 11">
          <a:extLst>
            <a:ext uri="{FF2B5EF4-FFF2-40B4-BE49-F238E27FC236}">
              <a16:creationId xmlns:a16="http://schemas.microsoft.com/office/drawing/2014/main" id="{9CF042B7-0E71-4295-B909-13B7F167A3C0}"/>
            </a:ext>
          </a:extLst>
        </xdr:cNvPr>
        <xdr:cNvSpPr/>
      </xdr:nvSpPr>
      <xdr:spPr>
        <a:xfrm>
          <a:off x="214842" y="2880974"/>
          <a:ext cx="4936548" cy="321262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Répartition</a:t>
          </a: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 des ressources</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214842</xdr:colOff>
      <xdr:row>31</xdr:row>
      <xdr:rowOff>116416</xdr:rowOff>
    </xdr:from>
    <xdr:to>
      <xdr:col>7</xdr:col>
      <xdr:colOff>463310</xdr:colOff>
      <xdr:row>53</xdr:row>
      <xdr:rowOff>21167</xdr:rowOff>
    </xdr:to>
    <xdr:sp macro="" textlink="">
      <xdr:nvSpPr>
        <xdr:cNvPr id="16" name="Rectangle : coins arrondis 15">
          <a:extLst>
            <a:ext uri="{FF2B5EF4-FFF2-40B4-BE49-F238E27FC236}">
              <a16:creationId xmlns:a16="http://schemas.microsoft.com/office/drawing/2014/main" id="{53577A1C-E0A4-4D55-AA5F-47775C79C3DB}"/>
            </a:ext>
          </a:extLst>
        </xdr:cNvPr>
        <xdr:cNvSpPr/>
      </xdr:nvSpPr>
      <xdr:spPr>
        <a:xfrm>
          <a:off x="214842" y="6199427"/>
          <a:ext cx="5043440" cy="4191001"/>
        </a:xfrm>
        <a:prstGeom prst="roundRect">
          <a:avLst>
            <a:gd name="adj" fmla="val 16793"/>
          </a:avLst>
        </a:prstGeom>
        <a:solidFill>
          <a:srgbClr val="F2F4F4"/>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Indicateurs de Réussite et d’Orientation</a:t>
          </a:r>
        </a:p>
      </xdr:txBody>
    </xdr:sp>
    <xdr:clientData/>
  </xdr:twoCellAnchor>
  <xdr:twoCellAnchor>
    <xdr:from>
      <xdr:col>1</xdr:col>
      <xdr:colOff>42958</xdr:colOff>
      <xdr:row>34</xdr:row>
      <xdr:rowOff>141762</xdr:rowOff>
    </xdr:from>
    <xdr:to>
      <xdr:col>7</xdr:col>
      <xdr:colOff>588072</xdr:colOff>
      <xdr:row>51</xdr:row>
      <xdr:rowOff>140230</xdr:rowOff>
    </xdr:to>
    <xdr:graphicFrame macro="">
      <xdr:nvGraphicFramePr>
        <xdr:cNvPr id="17" name="Graphique 16">
          <a:extLst>
            <a:ext uri="{FF2B5EF4-FFF2-40B4-BE49-F238E27FC236}">
              <a16:creationId xmlns:a16="http://schemas.microsoft.com/office/drawing/2014/main" id="{9770C4B6-4104-40F2-88DF-BC49D6E95D3D}"/>
            </a:ext>
            <a:ext uri="{147F2762-F138-4A5C-976F-8EAC2B608ADB}">
              <a16:predDERef xmlns:a16="http://schemas.microsoft.com/office/drawing/2014/main" pred="{53577A1C-E0A4-4D55-AA5F-47775C79C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444500</xdr:colOff>
      <xdr:row>7</xdr:row>
      <xdr:rowOff>127000</xdr:rowOff>
    </xdr:from>
    <xdr:to>
      <xdr:col>13</xdr:col>
      <xdr:colOff>625475</xdr:colOff>
      <xdr:row>14</xdr:row>
      <xdr:rowOff>5292</xdr:rowOff>
    </xdr:to>
    <xdr:graphicFrame macro="">
      <xdr:nvGraphicFramePr>
        <xdr:cNvPr id="5" name="Graphique 4">
          <a:extLst>
            <a:ext uri="{FF2B5EF4-FFF2-40B4-BE49-F238E27FC236}">
              <a16:creationId xmlns:a16="http://schemas.microsoft.com/office/drawing/2014/main" id="{2BF03FA0-57F7-415F-A454-08B0C2BC8965}"/>
            </a:ext>
            <a:ext uri="{147F2762-F138-4A5C-976F-8EAC2B608ADB}">
              <a16:predDERef xmlns:a16="http://schemas.microsoft.com/office/drawing/2014/main" pred="{9770C4B6-4104-40F2-88DF-BC49D6E95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146653</xdr:colOff>
      <xdr:row>1</xdr:row>
      <xdr:rowOff>95250</xdr:rowOff>
    </xdr:from>
    <xdr:to>
      <xdr:col>19</xdr:col>
      <xdr:colOff>122463</xdr:colOff>
      <xdr:row>53</xdr:row>
      <xdr:rowOff>122464</xdr:rowOff>
    </xdr:to>
    <xdr:sp macro="" textlink="">
      <xdr:nvSpPr>
        <xdr:cNvPr id="7" name="Rectangle : coins arrondis 6">
          <a:extLst>
            <a:ext uri="{FF2B5EF4-FFF2-40B4-BE49-F238E27FC236}">
              <a16:creationId xmlns:a16="http://schemas.microsoft.com/office/drawing/2014/main" id="{D446D827-A74D-48D5-99FF-1CEAC3BC9163}"/>
            </a:ext>
          </a:extLst>
        </xdr:cNvPr>
        <xdr:cNvSpPr/>
      </xdr:nvSpPr>
      <xdr:spPr>
        <a:xfrm>
          <a:off x="146653" y="299357"/>
          <a:ext cx="13936739" cy="10681607"/>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214842</xdr:colOff>
      <xdr:row>6</xdr:row>
      <xdr:rowOff>88900</xdr:rowOff>
    </xdr:from>
    <xdr:to>
      <xdr:col>7</xdr:col>
      <xdr:colOff>357717</xdr:colOff>
      <xdr:row>13</xdr:row>
      <xdr:rowOff>137584</xdr:rowOff>
    </xdr:to>
    <xdr:sp macro="" textlink="">
      <xdr:nvSpPr>
        <xdr:cNvPr id="9" name="Rectangle : coins arrondis 8">
          <a:extLst>
            <a:ext uri="{FF2B5EF4-FFF2-40B4-BE49-F238E27FC236}">
              <a16:creationId xmlns:a16="http://schemas.microsoft.com/office/drawing/2014/main" id="{5EC47664-35B9-43AD-B550-C374CF0DFD7F}"/>
            </a:ext>
          </a:extLst>
        </xdr:cNvPr>
        <xdr:cNvSpPr/>
      </xdr:nvSpPr>
      <xdr:spPr>
        <a:xfrm>
          <a:off x="214842" y="1301173"/>
          <a:ext cx="4937847" cy="1412491"/>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Total CA / Ventes</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16934</xdr:colOff>
      <xdr:row>7</xdr:row>
      <xdr:rowOff>172507</xdr:rowOff>
    </xdr:from>
    <xdr:to>
      <xdr:col>5</xdr:col>
      <xdr:colOff>93134</xdr:colOff>
      <xdr:row>12</xdr:row>
      <xdr:rowOff>138638</xdr:rowOff>
    </xdr:to>
    <xdr:sp macro="" textlink="'💰 Finances'!K6">
      <xdr:nvSpPr>
        <xdr:cNvPr id="10" name="ZoneTexte 9">
          <a:extLst>
            <a:ext uri="{FF2B5EF4-FFF2-40B4-BE49-F238E27FC236}">
              <a16:creationId xmlns:a16="http://schemas.microsoft.com/office/drawing/2014/main" id="{457EB047-1EBF-46B7-871E-84011CF5CB2B}"/>
            </a:ext>
          </a:extLst>
        </xdr:cNvPr>
        <xdr:cNvSpPr txBox="1"/>
      </xdr:nvSpPr>
      <xdr:spPr>
        <a:xfrm>
          <a:off x="260351" y="1622424"/>
          <a:ext cx="3124200" cy="971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319C24-4160-4491-93C8-5D9B71A9E994}" type="TxLink">
            <a:rPr lang="en-US" sz="5400" b="1" i="0" u="none" strike="noStrike">
              <a:solidFill>
                <a:srgbClr val="212121"/>
              </a:solidFill>
              <a:latin typeface="Calibri"/>
              <a:ea typeface="Calibri"/>
              <a:cs typeface="Calibri"/>
            </a:rPr>
            <a:pPr marL="0" indent="0" algn="l"/>
            <a:t>0 €</a:t>
          </a:fld>
          <a:endParaRPr lang="fr-FR" sz="5400" b="1" i="0" u="none" strike="noStrike">
            <a:solidFill>
              <a:srgbClr val="212121"/>
            </a:solidFill>
            <a:latin typeface="Calibri"/>
            <a:ea typeface="Calibri"/>
            <a:cs typeface="Calibri"/>
          </a:endParaRPr>
        </a:p>
      </xdr:txBody>
    </xdr:sp>
    <xdr:clientData/>
  </xdr:twoCellAnchor>
  <xdr:twoCellAnchor>
    <xdr:from>
      <xdr:col>5</xdr:col>
      <xdr:colOff>165360</xdr:colOff>
      <xdr:row>7</xdr:row>
      <xdr:rowOff>143932</xdr:rowOff>
    </xdr:from>
    <xdr:to>
      <xdr:col>7</xdr:col>
      <xdr:colOff>190499</xdr:colOff>
      <xdr:row>10</xdr:row>
      <xdr:rowOff>133349</xdr:rowOff>
    </xdr:to>
    <xdr:sp macro="" textlink="'💰 Finances'!I5">
      <xdr:nvSpPr>
        <xdr:cNvPr id="630" name="Objectif">
          <a:extLst>
            <a:ext uri="{FF2B5EF4-FFF2-40B4-BE49-F238E27FC236}">
              <a16:creationId xmlns:a16="http://schemas.microsoft.com/office/drawing/2014/main" id="{A9D64080-93EC-404A-A29A-8BD172AFBA34}"/>
            </a:ext>
          </a:extLst>
        </xdr:cNvPr>
        <xdr:cNvSpPr txBox="1"/>
      </xdr:nvSpPr>
      <xdr:spPr>
        <a:xfrm>
          <a:off x="3485881" y="1572682"/>
          <a:ext cx="1559722" cy="584730"/>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9725C99-3DF4-4AB4-AD0C-88E9C4DC6E0C}" type="TxLink">
            <a:rPr lang="en-US" sz="2800" b="0" i="0" u="none" strike="noStrike">
              <a:solidFill>
                <a:srgbClr val="F5F7F7"/>
              </a:solidFill>
              <a:latin typeface="Calibri"/>
              <a:ea typeface="Calibri"/>
              <a:cs typeface="Calibri"/>
            </a:rPr>
            <a:pPr marL="0" indent="0" algn="ctr"/>
            <a:t>#DIV/0!</a:t>
          </a:fld>
          <a:endParaRPr lang="en-US" sz="6000" b="1" i="0" u="none" strike="noStrike">
            <a:solidFill>
              <a:srgbClr val="F5F7F7"/>
            </a:solidFill>
            <a:latin typeface="Calibri"/>
            <a:ea typeface="Calibri"/>
            <a:cs typeface="Calibri"/>
          </a:endParaRPr>
        </a:p>
      </xdr:txBody>
    </xdr:sp>
    <xdr:clientData/>
  </xdr:twoCellAnchor>
  <xdr:twoCellAnchor>
    <xdr:from>
      <xdr:col>5</xdr:col>
      <xdr:colOff>402168</xdr:colOff>
      <xdr:row>6</xdr:row>
      <xdr:rowOff>64555</xdr:rowOff>
    </xdr:from>
    <xdr:to>
      <xdr:col>6</xdr:col>
      <xdr:colOff>709086</xdr:colOff>
      <xdr:row>8</xdr:row>
      <xdr:rowOff>85722</xdr:rowOff>
    </xdr:to>
    <xdr:sp macro="" textlink="">
      <xdr:nvSpPr>
        <xdr:cNvPr id="23" name="ZoneTexte 22">
          <a:extLst>
            <a:ext uri="{FF2B5EF4-FFF2-40B4-BE49-F238E27FC236}">
              <a16:creationId xmlns:a16="http://schemas.microsoft.com/office/drawing/2014/main" id="{62633F05-35B5-A599-9E7C-6CDAB06DE6DD}"/>
            </a:ext>
          </a:extLst>
        </xdr:cNvPr>
        <xdr:cNvSpPr txBox="1"/>
      </xdr:nvSpPr>
      <xdr:spPr>
        <a:xfrm>
          <a:off x="3693585" y="1313388"/>
          <a:ext cx="1068918" cy="423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fr-FR" sz="2000" b="1" i="0" u="none" strike="noStrike">
              <a:solidFill>
                <a:srgbClr val="2E7D6B"/>
              </a:solidFill>
              <a:latin typeface="Calibri"/>
              <a:ea typeface="Calibri"/>
              <a:cs typeface="Calibri"/>
            </a:rPr>
            <a:t>Objectif</a:t>
          </a:r>
        </a:p>
      </xdr:txBody>
    </xdr:sp>
    <xdr:clientData/>
  </xdr:twoCellAnchor>
  <xdr:twoCellAnchor>
    <xdr:from>
      <xdr:col>7</xdr:col>
      <xdr:colOff>692727</xdr:colOff>
      <xdr:row>31</xdr:row>
      <xdr:rowOff>173662</xdr:rowOff>
    </xdr:from>
    <xdr:to>
      <xdr:col>13</xdr:col>
      <xdr:colOff>565148</xdr:colOff>
      <xdr:row>53</xdr:row>
      <xdr:rowOff>21167</xdr:rowOff>
    </xdr:to>
    <xdr:sp macro="" textlink="">
      <xdr:nvSpPr>
        <xdr:cNvPr id="6" name="Rectangle : coins arrondis 5">
          <a:extLst>
            <a:ext uri="{FF2B5EF4-FFF2-40B4-BE49-F238E27FC236}">
              <a16:creationId xmlns:a16="http://schemas.microsoft.com/office/drawing/2014/main" id="{0346FA4E-EFBD-4F32-98CC-0E8DDE0724C9}"/>
            </a:ext>
          </a:extLst>
        </xdr:cNvPr>
        <xdr:cNvSpPr/>
      </xdr:nvSpPr>
      <xdr:spPr>
        <a:xfrm>
          <a:off x="5487699" y="6256673"/>
          <a:ext cx="4418443" cy="4133755"/>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Relations partenaires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31749</xdr:colOff>
      <xdr:row>45</xdr:row>
      <xdr:rowOff>63500</xdr:rowOff>
    </xdr:from>
    <xdr:to>
      <xdr:col>10</xdr:col>
      <xdr:colOff>433916</xdr:colOff>
      <xdr:row>52</xdr:row>
      <xdr:rowOff>74263</xdr:rowOff>
    </xdr:to>
    <xdr:graphicFrame macro="">
      <xdr:nvGraphicFramePr>
        <xdr:cNvPr id="13" name="Graphique 12">
          <a:extLst>
            <a:ext uri="{FF2B5EF4-FFF2-40B4-BE49-F238E27FC236}">
              <a16:creationId xmlns:a16="http://schemas.microsoft.com/office/drawing/2014/main" id="{30C4D4D9-B68D-4224-A78D-3AEED2D2939E}"/>
            </a:ext>
            <a:ext uri="{147F2762-F138-4A5C-976F-8EAC2B608ADB}">
              <a16:predDERef xmlns:a16="http://schemas.microsoft.com/office/drawing/2014/main" pred="{0346FA4E-EFBD-4F32-98CC-0E8DDE0724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539748</xdr:colOff>
      <xdr:row>11</xdr:row>
      <xdr:rowOff>35984</xdr:rowOff>
    </xdr:from>
    <xdr:to>
      <xdr:col>13</xdr:col>
      <xdr:colOff>285749</xdr:colOff>
      <xdr:row>24</xdr:row>
      <xdr:rowOff>1</xdr:rowOff>
    </xdr:to>
    <xdr:sp macro="" textlink="">
      <xdr:nvSpPr>
        <xdr:cNvPr id="2" name="Rectangle : coins arrondis 1">
          <a:extLst>
            <a:ext uri="{FF2B5EF4-FFF2-40B4-BE49-F238E27FC236}">
              <a16:creationId xmlns:a16="http://schemas.microsoft.com/office/drawing/2014/main" id="{A04F34F4-C2BA-4E36-89CF-214233316554}"/>
            </a:ext>
          </a:extLst>
        </xdr:cNvPr>
        <xdr:cNvSpPr/>
      </xdr:nvSpPr>
      <xdr:spPr>
        <a:xfrm>
          <a:off x="5365748" y="2337859"/>
          <a:ext cx="4318001" cy="2646892"/>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Effet Ciseau: </a:t>
          </a:r>
        </a:p>
        <a:p>
          <a:pPr algn="ctr"/>
          <a:r>
            <a:rPr lang="fr-FR" sz="1100" b="1" baseline="0">
              <a:solidFill>
                <a:srgbClr val="6D6D6D"/>
              </a:solidFill>
              <a:latin typeface="Calibri" panose="020F0502020204030204" pitchFamily="34" charset="0"/>
              <a:ea typeface="Calibri" panose="020F0502020204030204" pitchFamily="34" charset="0"/>
              <a:cs typeface="Calibri" panose="020F0502020204030204" pitchFamily="34" charset="0"/>
            </a:rPr>
            <a:t>Évolution revenus VS charges N et N-1</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391581</xdr:colOff>
      <xdr:row>19</xdr:row>
      <xdr:rowOff>21165</xdr:rowOff>
    </xdr:from>
    <xdr:to>
      <xdr:col>13</xdr:col>
      <xdr:colOff>95247</xdr:colOff>
      <xdr:row>21</xdr:row>
      <xdr:rowOff>95250</xdr:rowOff>
    </xdr:to>
    <xdr:sp macro="" textlink="'💰 Finances'!K12">
      <xdr:nvSpPr>
        <xdr:cNvPr id="621" name="effetCiseau">
          <a:extLst>
            <a:ext uri="{FF2B5EF4-FFF2-40B4-BE49-F238E27FC236}">
              <a16:creationId xmlns:a16="http://schemas.microsoft.com/office/drawing/2014/main" id="{FEA44FBE-8B14-47CB-9013-A11BFDD8AB65}"/>
            </a:ext>
          </a:extLst>
        </xdr:cNvPr>
        <xdr:cNvSpPr txBox="1"/>
      </xdr:nvSpPr>
      <xdr:spPr>
        <a:xfrm>
          <a:off x="8254998" y="3884082"/>
          <a:ext cx="1227666"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560FD9-E7FC-4091-B28E-B29EEA93DC9D}" type="TxLink">
            <a:rPr lang="en-US" sz="2400" b="1" i="0" u="none" strike="noStrike">
              <a:solidFill>
                <a:srgbClr val="F5F7F7"/>
              </a:solidFill>
              <a:latin typeface="Calibri"/>
              <a:ea typeface="Calibri"/>
              <a:cs typeface="Calibri"/>
            </a:rPr>
            <a:pPr marL="0" indent="0" algn="ctr"/>
            <a:t>#DIV/0!</a:t>
          </a:fld>
          <a:endParaRPr lang="fr-FR" sz="2400" b="1" i="0" u="none" strike="noStrike">
            <a:solidFill>
              <a:srgbClr val="F5F7F7"/>
            </a:solidFill>
            <a:latin typeface="Calibri"/>
            <a:ea typeface="Calibri"/>
            <a:cs typeface="Calibri"/>
          </a:endParaRPr>
        </a:p>
      </xdr:txBody>
    </xdr:sp>
    <xdr:clientData/>
  </xdr:twoCellAnchor>
  <xdr:twoCellAnchor>
    <xdr:from>
      <xdr:col>11</xdr:col>
      <xdr:colOff>275162</xdr:colOff>
      <xdr:row>15</xdr:row>
      <xdr:rowOff>148167</xdr:rowOff>
    </xdr:from>
    <xdr:to>
      <xdr:col>13</xdr:col>
      <xdr:colOff>148162</xdr:colOff>
      <xdr:row>18</xdr:row>
      <xdr:rowOff>116417</xdr:rowOff>
    </xdr:to>
    <xdr:sp macro="" textlink="">
      <xdr:nvSpPr>
        <xdr:cNvPr id="22" name="ZoneTexte 21">
          <a:extLst>
            <a:ext uri="{FF2B5EF4-FFF2-40B4-BE49-F238E27FC236}">
              <a16:creationId xmlns:a16="http://schemas.microsoft.com/office/drawing/2014/main" id="{A11BC7F2-5D2A-57A7-09C3-9E327756015F}"/>
            </a:ext>
          </a:extLst>
        </xdr:cNvPr>
        <xdr:cNvSpPr txBox="1"/>
      </xdr:nvSpPr>
      <xdr:spPr>
        <a:xfrm>
          <a:off x="8138579" y="3206750"/>
          <a:ext cx="13970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fr-FR" sz="1400" b="0" i="0" u="none" strike="noStrike">
              <a:solidFill>
                <a:srgbClr val="19574D"/>
              </a:solidFill>
              <a:latin typeface="Calibri"/>
              <a:ea typeface="Calibri"/>
              <a:cs typeface="Calibri"/>
            </a:rPr>
            <a:t>Écart de croissance </a:t>
          </a:r>
          <a:r>
            <a:rPr lang="fr-FR" sz="1400"/>
            <a:t>📈</a:t>
          </a:r>
          <a:r>
            <a:rPr lang="fr-FR" sz="1400" b="0" i="0" u="none" strike="noStrike">
              <a:solidFill>
                <a:srgbClr val="19574D"/>
              </a:solidFill>
              <a:latin typeface="Calibri"/>
              <a:ea typeface="Calibri"/>
              <a:cs typeface="Calibri"/>
            </a:rPr>
            <a:t>:</a:t>
          </a:r>
        </a:p>
      </xdr:txBody>
    </xdr:sp>
    <xdr:clientData/>
  </xdr:twoCellAnchor>
  <xdr:twoCellAnchor>
    <xdr:from>
      <xdr:col>11</xdr:col>
      <xdr:colOff>338662</xdr:colOff>
      <xdr:row>15</xdr:row>
      <xdr:rowOff>148167</xdr:rowOff>
    </xdr:from>
    <xdr:to>
      <xdr:col>13</xdr:col>
      <xdr:colOff>84662</xdr:colOff>
      <xdr:row>21</xdr:row>
      <xdr:rowOff>95250</xdr:rowOff>
    </xdr:to>
    <xdr:sp macro="" textlink="">
      <xdr:nvSpPr>
        <xdr:cNvPr id="24" name="Rectangle : coins arrondis 23">
          <a:extLst>
            <a:ext uri="{FF2B5EF4-FFF2-40B4-BE49-F238E27FC236}">
              <a16:creationId xmlns:a16="http://schemas.microsoft.com/office/drawing/2014/main" id="{876D15E2-6D3F-42A9-AFC9-3EAD98AAE468}"/>
            </a:ext>
          </a:extLst>
        </xdr:cNvPr>
        <xdr:cNvSpPr/>
      </xdr:nvSpPr>
      <xdr:spPr>
        <a:xfrm>
          <a:off x="8202079" y="3206750"/>
          <a:ext cx="1270000" cy="1153583"/>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445558</xdr:colOff>
      <xdr:row>6</xdr:row>
      <xdr:rowOff>57150</xdr:rowOff>
    </xdr:from>
    <xdr:to>
      <xdr:col>16</xdr:col>
      <xdr:colOff>96308</xdr:colOff>
      <xdr:row>14</xdr:row>
      <xdr:rowOff>131233</xdr:rowOff>
    </xdr:to>
    <xdr:sp macro="" textlink="">
      <xdr:nvSpPr>
        <xdr:cNvPr id="14" name="Rectangle : coins arrondis 13">
          <a:extLst>
            <a:ext uri="{FF2B5EF4-FFF2-40B4-BE49-F238E27FC236}">
              <a16:creationId xmlns:a16="http://schemas.microsoft.com/office/drawing/2014/main" id="{7FF2379A-BFBC-671E-03E0-F6E93A7BF486}"/>
            </a:ext>
          </a:extLst>
        </xdr:cNvPr>
        <xdr:cNvSpPr/>
      </xdr:nvSpPr>
      <xdr:spPr>
        <a:xfrm>
          <a:off x="9832975"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13</xdr:col>
      <xdr:colOff>434976</xdr:colOff>
      <xdr:row>9</xdr:row>
      <xdr:rowOff>25400</xdr:rowOff>
    </xdr:from>
    <xdr:to>
      <xdr:col>16</xdr:col>
      <xdr:colOff>85726</xdr:colOff>
      <xdr:row>11</xdr:row>
      <xdr:rowOff>99484</xdr:rowOff>
    </xdr:to>
    <xdr:sp macro="" textlink="'💰 Finances'!K14">
      <xdr:nvSpPr>
        <xdr:cNvPr id="26" name="ZoneTexte 25">
          <a:extLst>
            <a:ext uri="{FF2B5EF4-FFF2-40B4-BE49-F238E27FC236}">
              <a16:creationId xmlns:a16="http://schemas.microsoft.com/office/drawing/2014/main" id="{F4582CD1-3BCF-46AD-AC4C-8C0C79ED950E}"/>
            </a:ext>
          </a:extLst>
        </xdr:cNvPr>
        <xdr:cNvSpPr txBox="1"/>
      </xdr:nvSpPr>
      <xdr:spPr>
        <a:xfrm>
          <a:off x="9822393" y="1877483"/>
          <a:ext cx="1936750"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E8F01D-DD02-4856-90F5-5C1B18AD4E3D}" type="TxLink">
            <a:rPr lang="en-US" sz="2400" b="1" i="0" u="none" strike="noStrike">
              <a:solidFill>
                <a:srgbClr val="212121"/>
              </a:solidFill>
              <a:latin typeface="Calibri"/>
              <a:ea typeface="Calibri"/>
              <a:cs typeface="Calibri"/>
            </a:rPr>
            <a:pPr marL="0" indent="0" algn="ctr"/>
            <a:t>00 €</a:t>
          </a:fld>
          <a:endParaRPr lang="fr-FR" sz="2400" b="1" i="0" u="none" strike="noStrike">
            <a:solidFill>
              <a:srgbClr val="212121"/>
            </a:solidFill>
            <a:latin typeface="Calibri"/>
            <a:ea typeface="Calibri"/>
            <a:cs typeface="Calibri"/>
          </a:endParaRPr>
        </a:p>
      </xdr:txBody>
    </xdr:sp>
    <xdr:clientData/>
  </xdr:twoCellAnchor>
  <xdr:twoCellAnchor>
    <xdr:from>
      <xdr:col>13</xdr:col>
      <xdr:colOff>551391</xdr:colOff>
      <xdr:row>11</xdr:row>
      <xdr:rowOff>46567</xdr:rowOff>
    </xdr:from>
    <xdr:to>
      <xdr:col>14</xdr:col>
      <xdr:colOff>646641</xdr:colOff>
      <xdr:row>12</xdr:row>
      <xdr:rowOff>141334</xdr:rowOff>
    </xdr:to>
    <xdr:sp macro="" textlink="">
      <xdr:nvSpPr>
        <xdr:cNvPr id="27" name="ZoneTexte 26">
          <a:extLst>
            <a:ext uri="{FF2B5EF4-FFF2-40B4-BE49-F238E27FC236}">
              <a16:creationId xmlns:a16="http://schemas.microsoft.com/office/drawing/2014/main" id="{C7C9A92D-9146-624F-631C-D65DEAB0ED49}"/>
            </a:ext>
          </a:extLst>
        </xdr:cNvPr>
        <xdr:cNvSpPr txBox="1"/>
      </xdr:nvSpPr>
      <xdr:spPr>
        <a:xfrm>
          <a:off x="9938808"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648758</xdr:colOff>
      <xdr:row>11</xdr:row>
      <xdr:rowOff>46566</xdr:rowOff>
    </xdr:from>
    <xdr:to>
      <xdr:col>16</xdr:col>
      <xdr:colOff>65351</xdr:colOff>
      <xdr:row>12</xdr:row>
      <xdr:rowOff>141333</xdr:rowOff>
    </xdr:to>
    <xdr:sp macro="" textlink="">
      <xdr:nvSpPr>
        <xdr:cNvPr id="28" name="ZoneTexte 27">
          <a:extLst>
            <a:ext uri="{FF2B5EF4-FFF2-40B4-BE49-F238E27FC236}">
              <a16:creationId xmlns:a16="http://schemas.microsoft.com/office/drawing/2014/main" id="{1AE1AE3D-DA49-4252-85EB-AEF83F669A27}"/>
            </a:ext>
          </a:extLst>
        </xdr:cNvPr>
        <xdr:cNvSpPr txBox="1"/>
      </xdr:nvSpPr>
      <xdr:spPr>
        <a:xfrm>
          <a:off x="10798175"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546100</xdr:colOff>
      <xdr:row>12</xdr:row>
      <xdr:rowOff>88900</xdr:rowOff>
    </xdr:from>
    <xdr:to>
      <xdr:col>14</xdr:col>
      <xdr:colOff>651932</xdr:colOff>
      <xdr:row>14</xdr:row>
      <xdr:rowOff>35984</xdr:rowOff>
    </xdr:to>
    <xdr:sp macro="" textlink="'💰 Finances'!M14">
      <xdr:nvSpPr>
        <xdr:cNvPr id="624" name="resultatN-1">
          <a:extLst>
            <a:ext uri="{FF2B5EF4-FFF2-40B4-BE49-F238E27FC236}">
              <a16:creationId xmlns:a16="http://schemas.microsoft.com/office/drawing/2014/main" id="{FE999845-17D7-4CFD-BC4F-73E6F9B4F426}"/>
            </a:ext>
          </a:extLst>
        </xdr:cNvPr>
        <xdr:cNvSpPr txBox="1"/>
      </xdr:nvSpPr>
      <xdr:spPr>
        <a:xfrm>
          <a:off x="9933517" y="254423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0721E0-7F16-4CF9-8FC6-88D8E6676137}" type="TxLink">
            <a:rPr lang="en-US" sz="1200" b="0" i="0" u="none" strike="noStrike">
              <a:solidFill>
                <a:srgbClr val="2E7D6B"/>
              </a:solidFill>
              <a:latin typeface="Calibri"/>
              <a:ea typeface="Calibri"/>
              <a:cs typeface="Calibri"/>
            </a:rPr>
            <a:pPr marL="0" indent="0" algn="ctr"/>
            <a:t>00 €</a:t>
          </a:fld>
          <a:endParaRPr lang="fr-FR" sz="2400" b="0" i="0" u="none" strike="noStrike">
            <a:solidFill>
              <a:srgbClr val="2E7D6B"/>
            </a:solidFill>
            <a:latin typeface="Calibri"/>
            <a:ea typeface="Calibri"/>
            <a:cs typeface="Calibri"/>
          </a:endParaRPr>
        </a:p>
      </xdr:txBody>
    </xdr:sp>
    <xdr:clientData/>
  </xdr:twoCellAnchor>
  <xdr:twoCellAnchor>
    <xdr:from>
      <xdr:col>14</xdr:col>
      <xdr:colOff>685138</xdr:colOff>
      <xdr:row>12</xdr:row>
      <xdr:rowOff>82549</xdr:rowOff>
    </xdr:from>
    <xdr:to>
      <xdr:col>16</xdr:col>
      <xdr:colOff>28970</xdr:colOff>
      <xdr:row>14</xdr:row>
      <xdr:rowOff>29633</xdr:rowOff>
    </xdr:to>
    <xdr:sp macro="" textlink="'💰 Finances'!L14">
      <xdr:nvSpPr>
        <xdr:cNvPr id="627" name="resultatCible">
          <a:extLst>
            <a:ext uri="{FF2B5EF4-FFF2-40B4-BE49-F238E27FC236}">
              <a16:creationId xmlns:a16="http://schemas.microsoft.com/office/drawing/2014/main" id="{C839F6C2-FC66-4E2F-B740-426132C0EF69}"/>
            </a:ext>
          </a:extLst>
        </xdr:cNvPr>
        <xdr:cNvSpPr txBox="1"/>
      </xdr:nvSpPr>
      <xdr:spPr>
        <a:xfrm>
          <a:off x="10834555" y="253788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AD4F12-3CD6-4CD4-ADBC-20D2E2A0028E}" type="TxLink">
            <a:rPr lang="en-US" sz="1200" b="0" i="0" u="none" strike="noStrike">
              <a:solidFill>
                <a:srgbClr val="2E7D6B"/>
              </a:solidFill>
              <a:latin typeface="Calibri"/>
              <a:ea typeface="Calibri"/>
              <a:cs typeface="Calibri"/>
            </a:rPr>
            <a:pPr marL="0" indent="0" algn="ctr"/>
            <a:t>00 €</a:t>
          </a:fld>
          <a:endParaRPr lang="fr-FR" sz="2400" b="0" i="0" u="none" strike="noStrike">
            <a:solidFill>
              <a:srgbClr val="2E7D6B"/>
            </a:solidFill>
            <a:latin typeface="Calibri"/>
            <a:ea typeface="Calibri"/>
            <a:cs typeface="Calibri"/>
          </a:endParaRPr>
        </a:p>
      </xdr:txBody>
    </xdr:sp>
    <xdr:clientData/>
  </xdr:twoCellAnchor>
  <xdr:twoCellAnchor>
    <xdr:from>
      <xdr:col>16</xdr:col>
      <xdr:colOff>300566</xdr:colOff>
      <xdr:row>6</xdr:row>
      <xdr:rowOff>57150</xdr:rowOff>
    </xdr:from>
    <xdr:to>
      <xdr:col>18</xdr:col>
      <xdr:colOff>713316</xdr:colOff>
      <xdr:row>14</xdr:row>
      <xdr:rowOff>131233</xdr:rowOff>
    </xdr:to>
    <xdr:sp macro="" textlink="">
      <xdr:nvSpPr>
        <xdr:cNvPr id="43" name="Rectangle : coins arrondis 42">
          <a:extLst>
            <a:ext uri="{FF2B5EF4-FFF2-40B4-BE49-F238E27FC236}">
              <a16:creationId xmlns:a16="http://schemas.microsoft.com/office/drawing/2014/main" id="{D81C0E79-5D0F-486E-9C95-379A52C5B40C}"/>
            </a:ext>
          </a:extLst>
        </xdr:cNvPr>
        <xdr:cNvSpPr/>
      </xdr:nvSpPr>
      <xdr:spPr>
        <a:xfrm>
          <a:off x="11973983"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Taux de marge brute</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9</xdr:row>
      <xdr:rowOff>25400</xdr:rowOff>
    </xdr:from>
    <xdr:to>
      <xdr:col>18</xdr:col>
      <xdr:colOff>364066</xdr:colOff>
      <xdr:row>11</xdr:row>
      <xdr:rowOff>99484</xdr:rowOff>
    </xdr:to>
    <xdr:sp macro="" textlink="'💰 Finances'!E26">
      <xdr:nvSpPr>
        <xdr:cNvPr id="44" name="ZoneTexte 43">
          <a:extLst>
            <a:ext uri="{FF2B5EF4-FFF2-40B4-BE49-F238E27FC236}">
              <a16:creationId xmlns:a16="http://schemas.microsoft.com/office/drawing/2014/main" id="{84D7DE1F-ED31-4F85-950E-B4C321A64B7F}"/>
            </a:ext>
          </a:extLst>
        </xdr:cNvPr>
        <xdr:cNvSpPr txBox="1"/>
      </xdr:nvSpPr>
      <xdr:spPr>
        <a:xfrm>
          <a:off x="12333817" y="187748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3D1CB62-F7ED-4784-9322-A0CC7821C288}"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11</xdr:row>
      <xdr:rowOff>46567</xdr:rowOff>
    </xdr:from>
    <xdr:to>
      <xdr:col>17</xdr:col>
      <xdr:colOff>501649</xdr:colOff>
      <xdr:row>12</xdr:row>
      <xdr:rowOff>141334</xdr:rowOff>
    </xdr:to>
    <xdr:sp macro="" textlink="">
      <xdr:nvSpPr>
        <xdr:cNvPr id="45" name="ZoneTexte 44">
          <a:extLst>
            <a:ext uri="{FF2B5EF4-FFF2-40B4-BE49-F238E27FC236}">
              <a16:creationId xmlns:a16="http://schemas.microsoft.com/office/drawing/2014/main" id="{0A22A681-D3EA-4F8A-ADA5-07A439ABD28F}"/>
            </a:ext>
          </a:extLst>
        </xdr:cNvPr>
        <xdr:cNvSpPr txBox="1"/>
      </xdr:nvSpPr>
      <xdr:spPr>
        <a:xfrm>
          <a:off x="12079816"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11</xdr:row>
      <xdr:rowOff>46566</xdr:rowOff>
    </xdr:from>
    <xdr:to>
      <xdr:col>18</xdr:col>
      <xdr:colOff>682359</xdr:colOff>
      <xdr:row>12</xdr:row>
      <xdr:rowOff>141333</xdr:rowOff>
    </xdr:to>
    <xdr:sp macro="" textlink="">
      <xdr:nvSpPr>
        <xdr:cNvPr id="46" name="ZoneTexte 45">
          <a:extLst>
            <a:ext uri="{FF2B5EF4-FFF2-40B4-BE49-F238E27FC236}">
              <a16:creationId xmlns:a16="http://schemas.microsoft.com/office/drawing/2014/main" id="{2FD7777C-162D-421A-9DAB-AD8CC4CC19D2}"/>
            </a:ext>
          </a:extLst>
        </xdr:cNvPr>
        <xdr:cNvSpPr txBox="1"/>
      </xdr:nvSpPr>
      <xdr:spPr>
        <a:xfrm>
          <a:off x="12939183"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12</xdr:row>
      <xdr:rowOff>88900</xdr:rowOff>
    </xdr:from>
    <xdr:to>
      <xdr:col>17</xdr:col>
      <xdr:colOff>506940</xdr:colOff>
      <xdr:row>14</xdr:row>
      <xdr:rowOff>35984</xdr:rowOff>
    </xdr:to>
    <xdr:sp macro="" textlink="'💰 Finances'!G26">
      <xdr:nvSpPr>
        <xdr:cNvPr id="603" name="%margeN-1">
          <a:extLst>
            <a:ext uri="{FF2B5EF4-FFF2-40B4-BE49-F238E27FC236}">
              <a16:creationId xmlns:a16="http://schemas.microsoft.com/office/drawing/2014/main" id="{12BD36ED-BC19-4D53-A3FB-24C67EDB51E1}"/>
            </a:ext>
          </a:extLst>
        </xdr:cNvPr>
        <xdr:cNvSpPr txBox="1"/>
      </xdr:nvSpPr>
      <xdr:spPr>
        <a:xfrm>
          <a:off x="12074525" y="254423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0ADD59-A557-4D56-B949-289B453E2E47}" type="TxLink">
            <a:rPr lang="en-US" sz="12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17</xdr:col>
      <xdr:colOff>540146</xdr:colOff>
      <xdr:row>12</xdr:row>
      <xdr:rowOff>82549</xdr:rowOff>
    </xdr:from>
    <xdr:to>
      <xdr:col>18</xdr:col>
      <xdr:colOff>645978</xdr:colOff>
      <xdr:row>14</xdr:row>
      <xdr:rowOff>29633</xdr:rowOff>
    </xdr:to>
    <xdr:sp macro="" textlink="'💰 Finances'!F26">
      <xdr:nvSpPr>
        <xdr:cNvPr id="606" name="%margeCible">
          <a:extLst>
            <a:ext uri="{FF2B5EF4-FFF2-40B4-BE49-F238E27FC236}">
              <a16:creationId xmlns:a16="http://schemas.microsoft.com/office/drawing/2014/main" id="{3F238CC2-A76A-4E6B-A5A7-6E0C5EFA4B52}"/>
            </a:ext>
          </a:extLst>
        </xdr:cNvPr>
        <xdr:cNvSpPr txBox="1"/>
      </xdr:nvSpPr>
      <xdr:spPr>
        <a:xfrm>
          <a:off x="12975563" y="253788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B02861D-0205-4117-B0D8-547A7E2B921B}" type="TxLink">
            <a:rPr lang="en-US" sz="12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13</xdr:col>
      <xdr:colOff>434976</xdr:colOff>
      <xdr:row>15</xdr:row>
      <xdr:rowOff>82550</xdr:rowOff>
    </xdr:from>
    <xdr:to>
      <xdr:col>16</xdr:col>
      <xdr:colOff>85726</xdr:colOff>
      <xdr:row>23</xdr:row>
      <xdr:rowOff>156633</xdr:rowOff>
    </xdr:to>
    <xdr:sp macro="" textlink="">
      <xdr:nvSpPr>
        <xdr:cNvPr id="54" name="Rectangle : coins arrondis 53">
          <a:extLst>
            <a:ext uri="{FF2B5EF4-FFF2-40B4-BE49-F238E27FC236}">
              <a16:creationId xmlns:a16="http://schemas.microsoft.com/office/drawing/2014/main" id="{39F66F5E-3044-4514-ABA3-7C9AEBD4DCBC}"/>
            </a:ext>
          </a:extLst>
        </xdr:cNvPr>
        <xdr:cNvSpPr/>
      </xdr:nvSpPr>
      <xdr:spPr>
        <a:xfrm>
          <a:off x="982239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Nombre de jours de trésorerie</a:t>
          </a:r>
        </a:p>
      </xdr:txBody>
    </xdr:sp>
    <xdr:clientData/>
  </xdr:twoCellAnchor>
  <xdr:twoCellAnchor>
    <xdr:from>
      <xdr:col>14</xdr:col>
      <xdr:colOff>32810</xdr:colOff>
      <xdr:row>18</xdr:row>
      <xdr:rowOff>50800</xdr:rowOff>
    </xdr:from>
    <xdr:to>
      <xdr:col>15</xdr:col>
      <xdr:colOff>498476</xdr:colOff>
      <xdr:row>20</xdr:row>
      <xdr:rowOff>124884</xdr:rowOff>
    </xdr:to>
    <xdr:sp macro="" textlink="'💰 Finances'!E28">
      <xdr:nvSpPr>
        <xdr:cNvPr id="55" name="ZoneTexte 54">
          <a:extLst>
            <a:ext uri="{FF2B5EF4-FFF2-40B4-BE49-F238E27FC236}">
              <a16:creationId xmlns:a16="http://schemas.microsoft.com/office/drawing/2014/main" id="{5623AF17-1757-4803-AF73-8C941F0937E4}"/>
            </a:ext>
          </a:extLst>
        </xdr:cNvPr>
        <xdr:cNvSpPr txBox="1"/>
      </xdr:nvSpPr>
      <xdr:spPr>
        <a:xfrm>
          <a:off x="1018222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6BA6FD8-CFFA-4656-BFBA-D81541A6F649}" type="TxLink">
            <a:rPr lang="en-US" sz="2400" b="1" i="0" u="none" strike="noStrike">
              <a:solidFill>
                <a:srgbClr val="212121"/>
              </a:solidFill>
              <a:latin typeface="Calibri"/>
              <a:ea typeface="Calibri"/>
              <a:cs typeface="Calibri"/>
            </a:rPr>
            <a:pPr marL="0" indent="0" algn="ctr"/>
            <a:t>0</a:t>
          </a:fld>
          <a:endParaRPr lang="fr-FR" sz="2400" b="1" i="0" u="none" strike="noStrike">
            <a:solidFill>
              <a:srgbClr val="212121"/>
            </a:solidFill>
            <a:latin typeface="Calibri"/>
            <a:ea typeface="Calibri"/>
            <a:cs typeface="Calibri"/>
          </a:endParaRPr>
        </a:p>
      </xdr:txBody>
    </xdr:sp>
    <xdr:clientData/>
  </xdr:twoCellAnchor>
  <xdr:twoCellAnchor>
    <xdr:from>
      <xdr:col>13</xdr:col>
      <xdr:colOff>540809</xdr:colOff>
      <xdr:row>20</xdr:row>
      <xdr:rowOff>71967</xdr:rowOff>
    </xdr:from>
    <xdr:to>
      <xdr:col>14</xdr:col>
      <xdr:colOff>636059</xdr:colOff>
      <xdr:row>21</xdr:row>
      <xdr:rowOff>166734</xdr:rowOff>
    </xdr:to>
    <xdr:sp macro="" textlink="">
      <xdr:nvSpPr>
        <xdr:cNvPr id="56" name="ZoneTexte 55">
          <a:extLst>
            <a:ext uri="{FF2B5EF4-FFF2-40B4-BE49-F238E27FC236}">
              <a16:creationId xmlns:a16="http://schemas.microsoft.com/office/drawing/2014/main" id="{580E012A-A5F7-481A-A192-49DABC7BEEB8}"/>
            </a:ext>
          </a:extLst>
        </xdr:cNvPr>
        <xdr:cNvSpPr txBox="1"/>
      </xdr:nvSpPr>
      <xdr:spPr>
        <a:xfrm>
          <a:off x="992822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638176</xdr:colOff>
      <xdr:row>20</xdr:row>
      <xdr:rowOff>71966</xdr:rowOff>
    </xdr:from>
    <xdr:to>
      <xdr:col>16</xdr:col>
      <xdr:colOff>54769</xdr:colOff>
      <xdr:row>21</xdr:row>
      <xdr:rowOff>166733</xdr:rowOff>
    </xdr:to>
    <xdr:sp macro="" textlink="">
      <xdr:nvSpPr>
        <xdr:cNvPr id="57" name="ZoneTexte 56">
          <a:extLst>
            <a:ext uri="{FF2B5EF4-FFF2-40B4-BE49-F238E27FC236}">
              <a16:creationId xmlns:a16="http://schemas.microsoft.com/office/drawing/2014/main" id="{A3E95DAC-DAD2-47D0-A2A1-CF92DAF6F775}"/>
            </a:ext>
          </a:extLst>
        </xdr:cNvPr>
        <xdr:cNvSpPr txBox="1"/>
      </xdr:nvSpPr>
      <xdr:spPr>
        <a:xfrm>
          <a:off x="1078759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535518</xdr:colOff>
      <xdr:row>21</xdr:row>
      <xdr:rowOff>114300</xdr:rowOff>
    </xdr:from>
    <xdr:to>
      <xdr:col>14</xdr:col>
      <xdr:colOff>641350</xdr:colOff>
      <xdr:row>23</xdr:row>
      <xdr:rowOff>61384</xdr:rowOff>
    </xdr:to>
    <xdr:sp macro="" textlink="'💰 Finances'!G28">
      <xdr:nvSpPr>
        <xdr:cNvPr id="609" name="joursN-1">
          <a:extLst>
            <a:ext uri="{FF2B5EF4-FFF2-40B4-BE49-F238E27FC236}">
              <a16:creationId xmlns:a16="http://schemas.microsoft.com/office/drawing/2014/main" id="{38FE6EB2-60DA-42C0-9EA1-A275191D09D1}"/>
            </a:ext>
          </a:extLst>
        </xdr:cNvPr>
        <xdr:cNvSpPr txBox="1"/>
      </xdr:nvSpPr>
      <xdr:spPr>
        <a:xfrm>
          <a:off x="9922935" y="437938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3FAA57-4EE7-45BF-93D3-4AC6F8982AD3}" type="TxLink">
            <a:rPr lang="en-US" sz="1200" b="0" i="0" u="none" strike="noStrike">
              <a:solidFill>
                <a:srgbClr val="2E7D6B"/>
              </a:solidFill>
              <a:latin typeface="Calibri"/>
              <a:ea typeface="Calibri"/>
              <a:cs typeface="Calibri"/>
            </a:rPr>
            <a:pPr marL="0" indent="0" algn="ctr"/>
            <a:t>00</a:t>
          </a:fld>
          <a:endParaRPr lang="fr-FR" sz="2000" b="0" i="0" u="none" strike="noStrike">
            <a:solidFill>
              <a:srgbClr val="2E7D6B"/>
            </a:solidFill>
            <a:latin typeface="Calibri"/>
            <a:ea typeface="Calibri"/>
            <a:cs typeface="Calibri"/>
          </a:endParaRPr>
        </a:p>
      </xdr:txBody>
    </xdr:sp>
    <xdr:clientData/>
  </xdr:twoCellAnchor>
  <xdr:twoCellAnchor>
    <xdr:from>
      <xdr:col>14</xdr:col>
      <xdr:colOff>674556</xdr:colOff>
      <xdr:row>21</xdr:row>
      <xdr:rowOff>107949</xdr:rowOff>
    </xdr:from>
    <xdr:to>
      <xdr:col>16</xdr:col>
      <xdr:colOff>18388</xdr:colOff>
      <xdr:row>23</xdr:row>
      <xdr:rowOff>55033</xdr:rowOff>
    </xdr:to>
    <xdr:sp macro="" textlink="'💰 Finances'!F28">
      <xdr:nvSpPr>
        <xdr:cNvPr id="612" name="joursCible">
          <a:extLst>
            <a:ext uri="{FF2B5EF4-FFF2-40B4-BE49-F238E27FC236}">
              <a16:creationId xmlns:a16="http://schemas.microsoft.com/office/drawing/2014/main" id="{72EA148F-D586-42CB-BEE1-1805C9FFBF03}"/>
            </a:ext>
          </a:extLst>
        </xdr:cNvPr>
        <xdr:cNvSpPr txBox="1"/>
      </xdr:nvSpPr>
      <xdr:spPr>
        <a:xfrm>
          <a:off x="10823973" y="437303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3EB23B-00E9-480B-9F7E-96D1E9B3BBEA}" type="TxLink">
            <a:rPr lang="en-US" sz="1400" b="0" i="0" u="none" strike="noStrike">
              <a:solidFill>
                <a:srgbClr val="2E7D6B"/>
              </a:solidFill>
              <a:latin typeface="Calibri"/>
              <a:ea typeface="Calibri"/>
              <a:cs typeface="Calibri"/>
            </a:rPr>
            <a:pPr marL="0" indent="0" algn="ctr"/>
            <a:t>00</a:t>
          </a:fld>
          <a:endParaRPr lang="fr-FR" sz="2000" b="0" i="0" u="none" strike="noStrike">
            <a:solidFill>
              <a:srgbClr val="2E7D6B"/>
            </a:solidFill>
            <a:latin typeface="Calibri"/>
            <a:ea typeface="Calibri"/>
            <a:cs typeface="Calibri"/>
          </a:endParaRPr>
        </a:p>
      </xdr:txBody>
    </xdr:sp>
    <xdr:clientData/>
  </xdr:twoCellAnchor>
  <xdr:twoCellAnchor>
    <xdr:from>
      <xdr:col>16</xdr:col>
      <xdr:colOff>300566</xdr:colOff>
      <xdr:row>15</xdr:row>
      <xdr:rowOff>82550</xdr:rowOff>
    </xdr:from>
    <xdr:to>
      <xdr:col>18</xdr:col>
      <xdr:colOff>713316</xdr:colOff>
      <xdr:row>23</xdr:row>
      <xdr:rowOff>156633</xdr:rowOff>
    </xdr:to>
    <xdr:sp macro="" textlink="">
      <xdr:nvSpPr>
        <xdr:cNvPr id="60" name="Rectangle : coins arrondis 59">
          <a:extLst>
            <a:ext uri="{FF2B5EF4-FFF2-40B4-BE49-F238E27FC236}">
              <a16:creationId xmlns:a16="http://schemas.microsoft.com/office/drawing/2014/main" id="{C0F4344A-F899-4DBE-858B-74E35CDBAC49}"/>
            </a:ext>
          </a:extLst>
        </xdr:cNvPr>
        <xdr:cNvSpPr/>
      </xdr:nvSpPr>
      <xdr:spPr>
        <a:xfrm>
          <a:off x="1197398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Poids des charges de personnel</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18</xdr:row>
      <xdr:rowOff>50800</xdr:rowOff>
    </xdr:from>
    <xdr:to>
      <xdr:col>18</xdr:col>
      <xdr:colOff>364066</xdr:colOff>
      <xdr:row>20</xdr:row>
      <xdr:rowOff>124884</xdr:rowOff>
    </xdr:to>
    <xdr:sp macro="" textlink="'💰 Finances'!E27">
      <xdr:nvSpPr>
        <xdr:cNvPr id="61" name="ZoneTexte 60">
          <a:extLst>
            <a:ext uri="{FF2B5EF4-FFF2-40B4-BE49-F238E27FC236}">
              <a16:creationId xmlns:a16="http://schemas.microsoft.com/office/drawing/2014/main" id="{C08AEDC6-37C5-4E6F-81C3-3CD2608D7366}"/>
            </a:ext>
          </a:extLst>
        </xdr:cNvPr>
        <xdr:cNvSpPr txBox="1"/>
      </xdr:nvSpPr>
      <xdr:spPr>
        <a:xfrm>
          <a:off x="1233381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9E9E7F-818B-4041-8AEE-E1515B1A9B15}"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20</xdr:row>
      <xdr:rowOff>71967</xdr:rowOff>
    </xdr:from>
    <xdr:to>
      <xdr:col>17</xdr:col>
      <xdr:colOff>501649</xdr:colOff>
      <xdr:row>21</xdr:row>
      <xdr:rowOff>166734</xdr:rowOff>
    </xdr:to>
    <xdr:sp macro="" textlink="">
      <xdr:nvSpPr>
        <xdr:cNvPr id="62" name="ZoneTexte 61">
          <a:extLst>
            <a:ext uri="{FF2B5EF4-FFF2-40B4-BE49-F238E27FC236}">
              <a16:creationId xmlns:a16="http://schemas.microsoft.com/office/drawing/2014/main" id="{ECFAE771-A96F-4BAA-B6A7-5D6471824240}"/>
            </a:ext>
          </a:extLst>
        </xdr:cNvPr>
        <xdr:cNvSpPr txBox="1"/>
      </xdr:nvSpPr>
      <xdr:spPr>
        <a:xfrm>
          <a:off x="1207981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20</xdr:row>
      <xdr:rowOff>71966</xdr:rowOff>
    </xdr:from>
    <xdr:to>
      <xdr:col>18</xdr:col>
      <xdr:colOff>682359</xdr:colOff>
      <xdr:row>21</xdr:row>
      <xdr:rowOff>166733</xdr:rowOff>
    </xdr:to>
    <xdr:sp macro="" textlink="">
      <xdr:nvSpPr>
        <xdr:cNvPr id="63" name="ZoneTexte 62">
          <a:extLst>
            <a:ext uri="{FF2B5EF4-FFF2-40B4-BE49-F238E27FC236}">
              <a16:creationId xmlns:a16="http://schemas.microsoft.com/office/drawing/2014/main" id="{432E03DA-049F-494C-890D-1DD95F8C376E}"/>
            </a:ext>
          </a:extLst>
        </xdr:cNvPr>
        <xdr:cNvSpPr txBox="1"/>
      </xdr:nvSpPr>
      <xdr:spPr>
        <a:xfrm>
          <a:off x="1293918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21</xdr:row>
      <xdr:rowOff>114300</xdr:rowOff>
    </xdr:from>
    <xdr:to>
      <xdr:col>17</xdr:col>
      <xdr:colOff>506940</xdr:colOff>
      <xdr:row>23</xdr:row>
      <xdr:rowOff>61384</xdr:rowOff>
    </xdr:to>
    <xdr:sp macro="" textlink="'💰 Finances'!G27">
      <xdr:nvSpPr>
        <xdr:cNvPr id="615" name="personnelN-1">
          <a:extLst>
            <a:ext uri="{FF2B5EF4-FFF2-40B4-BE49-F238E27FC236}">
              <a16:creationId xmlns:a16="http://schemas.microsoft.com/office/drawing/2014/main" id="{4CB31287-D58D-44C5-B3E3-15F3CA343DF9}"/>
            </a:ext>
          </a:extLst>
        </xdr:cNvPr>
        <xdr:cNvSpPr txBox="1"/>
      </xdr:nvSpPr>
      <xdr:spPr>
        <a:xfrm>
          <a:off x="12074525" y="437938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CE6804-5935-425F-8219-234470463B59}" type="TxLink">
            <a:rPr lang="en-US" sz="14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17</xdr:col>
      <xdr:colOff>540146</xdr:colOff>
      <xdr:row>21</xdr:row>
      <xdr:rowOff>107949</xdr:rowOff>
    </xdr:from>
    <xdr:to>
      <xdr:col>18</xdr:col>
      <xdr:colOff>645978</xdr:colOff>
      <xdr:row>23</xdr:row>
      <xdr:rowOff>55033</xdr:rowOff>
    </xdr:to>
    <xdr:sp macro="" textlink="'💰 Finances'!F27">
      <xdr:nvSpPr>
        <xdr:cNvPr id="618" name="personnelCible">
          <a:extLst>
            <a:ext uri="{FF2B5EF4-FFF2-40B4-BE49-F238E27FC236}">
              <a16:creationId xmlns:a16="http://schemas.microsoft.com/office/drawing/2014/main" id="{D3762188-B7FB-4D02-B3E7-AE4F35D2AC4C}"/>
            </a:ext>
          </a:extLst>
        </xdr:cNvPr>
        <xdr:cNvSpPr txBox="1"/>
      </xdr:nvSpPr>
      <xdr:spPr>
        <a:xfrm>
          <a:off x="12975563" y="437303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709F0A-BA90-4D43-A5C1-C139A51005F2}" type="TxLink">
            <a:rPr lang="en-US" sz="14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7</xdr:col>
      <xdr:colOff>539748</xdr:colOff>
      <xdr:row>24</xdr:row>
      <xdr:rowOff>97366</xdr:rowOff>
    </xdr:from>
    <xdr:to>
      <xdr:col>18</xdr:col>
      <xdr:colOff>700616</xdr:colOff>
      <xdr:row>31</xdr:row>
      <xdr:rowOff>6254</xdr:rowOff>
    </xdr:to>
    <xdr:sp macro="" textlink="">
      <xdr:nvSpPr>
        <xdr:cNvPr id="72" name="Rectangle : coins arrondis 71">
          <a:extLst>
            <a:ext uri="{FF2B5EF4-FFF2-40B4-BE49-F238E27FC236}">
              <a16:creationId xmlns:a16="http://schemas.microsoft.com/office/drawing/2014/main" id="{1F48D4B9-E00A-4579-8873-6AB59EF47BD7}"/>
            </a:ext>
          </a:extLst>
        </xdr:cNvPr>
        <xdr:cNvSpPr/>
      </xdr:nvSpPr>
      <xdr:spPr>
        <a:xfrm>
          <a:off x="5365748" y="5082116"/>
          <a:ext cx="8542868" cy="1353513"/>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Pédagogie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31</xdr:row>
      <xdr:rowOff>87455</xdr:rowOff>
    </xdr:from>
    <xdr:to>
      <xdr:col>16</xdr:col>
      <xdr:colOff>372581</xdr:colOff>
      <xdr:row>42</xdr:row>
      <xdr:rowOff>10730</xdr:rowOff>
    </xdr:to>
    <xdr:sp macro="" textlink="">
      <xdr:nvSpPr>
        <xdr:cNvPr id="74" name="Rectangle : coins arrondis 73">
          <a:extLst>
            <a:ext uri="{FF2B5EF4-FFF2-40B4-BE49-F238E27FC236}">
              <a16:creationId xmlns:a16="http://schemas.microsoft.com/office/drawing/2014/main" id="{91B2EF86-466D-46D5-80BF-3329A5772501}"/>
            </a:ext>
          </a:extLst>
        </xdr:cNvPr>
        <xdr:cNvSpPr/>
      </xdr:nvSpPr>
      <xdr:spPr>
        <a:xfrm>
          <a:off x="10179387" y="6170466"/>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réunions CAdm</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491065</xdr:colOff>
      <xdr:row>6</xdr:row>
      <xdr:rowOff>82552</xdr:rowOff>
    </xdr:from>
    <xdr:to>
      <xdr:col>13</xdr:col>
      <xdr:colOff>237066</xdr:colOff>
      <xdr:row>10</xdr:row>
      <xdr:rowOff>137585</xdr:rowOff>
    </xdr:to>
    <xdr:sp macro="" textlink="">
      <xdr:nvSpPr>
        <xdr:cNvPr id="71" name="Rectangle : coins arrondis 70">
          <a:extLst>
            <a:ext uri="{FF2B5EF4-FFF2-40B4-BE49-F238E27FC236}">
              <a16:creationId xmlns:a16="http://schemas.microsoft.com/office/drawing/2014/main" id="{71ED5FE0-F8FE-4BBE-B0EA-32B38D7376B6}"/>
            </a:ext>
          </a:extLst>
        </xdr:cNvPr>
        <xdr:cNvSpPr/>
      </xdr:nvSpPr>
      <xdr:spPr>
        <a:xfrm>
          <a:off x="5306482" y="1331385"/>
          <a:ext cx="4318001" cy="859367"/>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Chiffre d'affaires moyen par élève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592663</xdr:colOff>
      <xdr:row>7</xdr:row>
      <xdr:rowOff>198969</xdr:rowOff>
    </xdr:from>
    <xdr:to>
      <xdr:col>10</xdr:col>
      <xdr:colOff>57145</xdr:colOff>
      <xdr:row>10</xdr:row>
      <xdr:rowOff>71970</xdr:rowOff>
    </xdr:to>
    <xdr:sp macro="" textlink="'🏭 Production'!J4">
      <xdr:nvSpPr>
        <xdr:cNvPr id="76" name="ZoneTexte 75">
          <a:extLst>
            <a:ext uri="{FF2B5EF4-FFF2-40B4-BE49-F238E27FC236}">
              <a16:creationId xmlns:a16="http://schemas.microsoft.com/office/drawing/2014/main" id="{BBB22A85-CA77-4144-9685-9A10793D85CF}"/>
            </a:ext>
          </a:extLst>
        </xdr:cNvPr>
        <xdr:cNvSpPr txBox="1"/>
      </xdr:nvSpPr>
      <xdr:spPr>
        <a:xfrm>
          <a:off x="5408080" y="1648886"/>
          <a:ext cx="1750482"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F51391-CC4E-4070-B556-4F222ACA0AFD}" type="TxLink">
            <a:rPr lang="en-US" sz="2400" b="1" i="0" u="none" strike="noStrike">
              <a:solidFill>
                <a:srgbClr val="212121"/>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321732</xdr:colOff>
      <xdr:row>7</xdr:row>
      <xdr:rowOff>146052</xdr:rowOff>
    </xdr:from>
    <xdr:to>
      <xdr:col>11</xdr:col>
      <xdr:colOff>416982</xdr:colOff>
      <xdr:row>9</xdr:row>
      <xdr:rowOff>39736</xdr:rowOff>
    </xdr:to>
    <xdr:sp macro="" textlink="">
      <xdr:nvSpPr>
        <xdr:cNvPr id="91" name="ZoneTexte 90">
          <a:extLst>
            <a:ext uri="{FF2B5EF4-FFF2-40B4-BE49-F238E27FC236}">
              <a16:creationId xmlns:a16="http://schemas.microsoft.com/office/drawing/2014/main" id="{7FC4696B-9C7A-45E0-A700-98EBAB2E2FB5}"/>
            </a:ext>
          </a:extLst>
        </xdr:cNvPr>
        <xdr:cNvSpPr txBox="1"/>
      </xdr:nvSpPr>
      <xdr:spPr>
        <a:xfrm>
          <a:off x="7423149" y="1595969"/>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10</xdr:col>
      <xdr:colOff>289981</xdr:colOff>
      <xdr:row>8</xdr:row>
      <xdr:rowOff>146052</xdr:rowOff>
    </xdr:from>
    <xdr:to>
      <xdr:col>11</xdr:col>
      <xdr:colOff>395813</xdr:colOff>
      <xdr:row>10</xdr:row>
      <xdr:rowOff>93136</xdr:rowOff>
    </xdr:to>
    <xdr:sp macro="" textlink="'🏭 Production'!K4">
      <xdr:nvSpPr>
        <xdr:cNvPr id="92" name="CAN-1">
          <a:extLst>
            <a:ext uri="{FF2B5EF4-FFF2-40B4-BE49-F238E27FC236}">
              <a16:creationId xmlns:a16="http://schemas.microsoft.com/office/drawing/2014/main" id="{2AC29AE8-1442-49C1-BEB7-CF5FA9A1299A}"/>
            </a:ext>
          </a:extLst>
        </xdr:cNvPr>
        <xdr:cNvSpPr txBox="1"/>
      </xdr:nvSpPr>
      <xdr:spPr>
        <a:xfrm>
          <a:off x="7391398" y="179705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A49BA6-FCB0-4AA3-A53D-4B9C2DEDC5E6}" type="TxLink">
            <a:rPr lang="en-US" sz="1200" b="0" i="0" u="none" strike="noStrike">
              <a:solidFill>
                <a:srgbClr val="2E7D6B"/>
              </a:solidFill>
              <a:latin typeface="Calibri"/>
              <a:ea typeface="Calibri"/>
              <a:cs typeface="Calibri"/>
            </a:rPr>
            <a:pPr marL="0" indent="0" algn="ctr"/>
            <a:t> </a:t>
          </a:fld>
          <a:endParaRPr lang="fr-FR" sz="2400" b="0" i="0" u="none" strike="noStrike">
            <a:solidFill>
              <a:srgbClr val="2E7D6B"/>
            </a:solidFill>
            <a:latin typeface="Calibri"/>
            <a:ea typeface="Calibri"/>
            <a:cs typeface="Calibri"/>
          </a:endParaRPr>
        </a:p>
      </xdr:txBody>
    </xdr:sp>
    <xdr:clientData/>
  </xdr:twoCellAnchor>
  <xdr:twoCellAnchor>
    <xdr:from>
      <xdr:col>12</xdr:col>
      <xdr:colOff>4232</xdr:colOff>
      <xdr:row>7</xdr:row>
      <xdr:rowOff>156635</xdr:rowOff>
    </xdr:from>
    <xdr:to>
      <xdr:col>13</xdr:col>
      <xdr:colOff>182825</xdr:colOff>
      <xdr:row>9</xdr:row>
      <xdr:rowOff>50319</xdr:rowOff>
    </xdr:to>
    <xdr:sp macro="" textlink="">
      <xdr:nvSpPr>
        <xdr:cNvPr id="93" name="ZoneTexte 92">
          <a:extLst>
            <a:ext uri="{FF2B5EF4-FFF2-40B4-BE49-F238E27FC236}">
              <a16:creationId xmlns:a16="http://schemas.microsoft.com/office/drawing/2014/main" id="{EB977528-3D32-44DD-9CBF-63F69EF529FC}"/>
            </a:ext>
          </a:extLst>
        </xdr:cNvPr>
        <xdr:cNvSpPr txBox="1"/>
      </xdr:nvSpPr>
      <xdr:spPr>
        <a:xfrm>
          <a:off x="8629649" y="1606552"/>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12</xdr:col>
      <xdr:colOff>57148</xdr:colOff>
      <xdr:row>8</xdr:row>
      <xdr:rowOff>156635</xdr:rowOff>
    </xdr:from>
    <xdr:to>
      <xdr:col>13</xdr:col>
      <xdr:colOff>162980</xdr:colOff>
      <xdr:row>10</xdr:row>
      <xdr:rowOff>103719</xdr:rowOff>
    </xdr:to>
    <xdr:sp macro="" textlink="'🏭 Production'!L4">
      <xdr:nvSpPr>
        <xdr:cNvPr id="94" name="CACible">
          <a:extLst>
            <a:ext uri="{FF2B5EF4-FFF2-40B4-BE49-F238E27FC236}">
              <a16:creationId xmlns:a16="http://schemas.microsoft.com/office/drawing/2014/main" id="{7975966B-9DFD-45F1-AE33-BF8CC47645FC}"/>
            </a:ext>
          </a:extLst>
        </xdr:cNvPr>
        <xdr:cNvSpPr txBox="1"/>
      </xdr:nvSpPr>
      <xdr:spPr>
        <a:xfrm>
          <a:off x="8682565" y="1807635"/>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680E71-52D2-4C6B-962A-30E679F68323}" type="TxLink">
            <a:rPr lang="en-US" sz="1200" b="0" i="0" u="none" strike="noStrike">
              <a:solidFill>
                <a:srgbClr val="2E7D6B"/>
              </a:solidFill>
              <a:latin typeface="Calibri"/>
              <a:ea typeface="Calibri"/>
              <a:cs typeface="Calibri"/>
            </a:rPr>
            <a:pPr marL="0" indent="0" algn="ctr"/>
            <a:t> </a:t>
          </a:fld>
          <a:endParaRPr lang="en-US" b="0" i="0" u="none" strike="noStrike">
            <a:solidFill>
              <a:srgbClr val="2E7D6B"/>
            </a:solidFill>
            <a:latin typeface="Calibri"/>
            <a:ea typeface="Calibri"/>
            <a:cs typeface="Calibri"/>
          </a:endParaRPr>
        </a:p>
      </xdr:txBody>
    </xdr:sp>
    <xdr:clientData/>
  </xdr:twoCellAnchor>
  <xdr:twoCellAnchor>
    <xdr:from>
      <xdr:col>8</xdr:col>
      <xdr:colOff>741824</xdr:colOff>
      <xdr:row>35</xdr:row>
      <xdr:rowOff>52917</xdr:rowOff>
    </xdr:from>
    <xdr:to>
      <xdr:col>9</xdr:col>
      <xdr:colOff>720658</xdr:colOff>
      <xdr:row>37</xdr:row>
      <xdr:rowOff>74083</xdr:rowOff>
    </xdr:to>
    <xdr:sp macro="" textlink="'🏭 Production'!K11">
      <xdr:nvSpPr>
        <xdr:cNvPr id="97" name="ZoneTexte 96">
          <a:extLst>
            <a:ext uri="{FF2B5EF4-FFF2-40B4-BE49-F238E27FC236}">
              <a16:creationId xmlns:a16="http://schemas.microsoft.com/office/drawing/2014/main" id="{0179A065-462E-44C9-8563-6A4F12817A15}"/>
            </a:ext>
          </a:extLst>
        </xdr:cNvPr>
        <xdr:cNvSpPr txBox="1"/>
      </xdr:nvSpPr>
      <xdr:spPr>
        <a:xfrm>
          <a:off x="6337762" y="7037917"/>
          <a:ext cx="742818" cy="418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CE0606-2210-42DE-AD1B-82BFBB452495}" type="TxLink">
            <a:rPr lang="en-US" sz="2400" b="1" i="0" u="none" strike="noStrike">
              <a:solidFill>
                <a:srgbClr val="212121"/>
              </a:solidFill>
              <a:latin typeface="Calibri"/>
              <a:ea typeface="Calibri"/>
              <a:cs typeface="Calibri"/>
            </a:rPr>
            <a:pPr marL="0" indent="0" algn="ctr"/>
            <a:t>0</a:t>
          </a:fld>
          <a:endParaRPr lang="fr-FR" sz="2400" b="1" i="0" u="none" strike="noStrike">
            <a:solidFill>
              <a:srgbClr val="212121"/>
            </a:solidFill>
            <a:latin typeface="Calibri"/>
            <a:ea typeface="Calibri"/>
            <a:cs typeface="Calibri"/>
          </a:endParaRPr>
        </a:p>
      </xdr:txBody>
    </xdr:sp>
    <xdr:clientData/>
  </xdr:twoCellAnchor>
  <xdr:twoCellAnchor>
    <xdr:from>
      <xdr:col>8</xdr:col>
      <xdr:colOff>269874</xdr:colOff>
      <xdr:row>37</xdr:row>
      <xdr:rowOff>88899</xdr:rowOff>
    </xdr:from>
    <xdr:to>
      <xdr:col>10</xdr:col>
      <xdr:colOff>428624</xdr:colOff>
      <xdr:row>40</xdr:row>
      <xdr:rowOff>35983</xdr:rowOff>
    </xdr:to>
    <xdr:sp macro="" textlink="">
      <xdr:nvSpPr>
        <xdr:cNvPr id="98" name="ZoneTexte 97">
          <a:extLst>
            <a:ext uri="{FF2B5EF4-FFF2-40B4-BE49-F238E27FC236}">
              <a16:creationId xmlns:a16="http://schemas.microsoft.com/office/drawing/2014/main" id="{19F747EA-6F9E-4F18-81B5-FBC3CD8C02C9}"/>
            </a:ext>
          </a:extLst>
        </xdr:cNvPr>
        <xdr:cNvSpPr txBox="1"/>
      </xdr:nvSpPr>
      <xdr:spPr>
        <a:xfrm>
          <a:off x="5865812" y="7470774"/>
          <a:ext cx="1686718" cy="542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Nouvelles entreprises</a:t>
          </a:r>
          <a:r>
            <a:rPr lang="fr-FR" sz="1300" b="1" i="0" u="none" strike="noStrike" baseline="0">
              <a:solidFill>
                <a:srgbClr val="6D6D6D"/>
              </a:solidFill>
              <a:latin typeface="Calibri"/>
              <a:ea typeface="Calibri"/>
              <a:cs typeface="Calibri"/>
            </a:rPr>
            <a:t> partenaires</a:t>
          </a:r>
          <a:endParaRPr lang="fr-FR" sz="1300" b="1" i="0" u="none" strike="noStrike">
            <a:solidFill>
              <a:srgbClr val="6D6D6D"/>
            </a:solidFill>
            <a:latin typeface="Calibri"/>
            <a:ea typeface="Calibri"/>
            <a:cs typeface="Calibri"/>
          </a:endParaRPr>
        </a:p>
      </xdr:txBody>
    </xdr:sp>
    <xdr:clientData/>
  </xdr:twoCellAnchor>
  <xdr:twoCellAnchor>
    <xdr:from>
      <xdr:col>8</xdr:col>
      <xdr:colOff>201081</xdr:colOff>
      <xdr:row>42</xdr:row>
      <xdr:rowOff>67733</xdr:rowOff>
    </xdr:from>
    <xdr:to>
      <xdr:col>10</xdr:col>
      <xdr:colOff>497417</xdr:colOff>
      <xdr:row>45</xdr:row>
      <xdr:rowOff>14817</xdr:rowOff>
    </xdr:to>
    <xdr:sp macro="" textlink="">
      <xdr:nvSpPr>
        <xdr:cNvPr id="100" name="ZoneTexte 99">
          <a:extLst>
            <a:ext uri="{FF2B5EF4-FFF2-40B4-BE49-F238E27FC236}">
              <a16:creationId xmlns:a16="http://schemas.microsoft.com/office/drawing/2014/main" id="{220D3925-F92F-4EC2-8174-263C06774D77}"/>
            </a:ext>
          </a:extLst>
        </xdr:cNvPr>
        <xdr:cNvSpPr txBox="1"/>
      </xdr:nvSpPr>
      <xdr:spPr>
        <a:xfrm>
          <a:off x="5797019" y="8441796"/>
          <a:ext cx="1824304" cy="5423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transformation visites → partenariat</a:t>
          </a:r>
        </a:p>
      </xdr:txBody>
    </xdr:sp>
    <xdr:clientData/>
  </xdr:twoCellAnchor>
  <xdr:twoCellAnchor>
    <xdr:from>
      <xdr:col>11</xdr:col>
      <xdr:colOff>307990</xdr:colOff>
      <xdr:row>47</xdr:row>
      <xdr:rowOff>7144</xdr:rowOff>
    </xdr:from>
    <xdr:to>
      <xdr:col>12</xdr:col>
      <xdr:colOff>695304</xdr:colOff>
      <xdr:row>49</xdr:row>
      <xdr:rowOff>28311</xdr:rowOff>
    </xdr:to>
    <xdr:sp macro="" textlink="'🏭 Production'!E14">
      <xdr:nvSpPr>
        <xdr:cNvPr id="101" name="ZoneTexte 100">
          <a:extLst>
            <a:ext uri="{FF2B5EF4-FFF2-40B4-BE49-F238E27FC236}">
              <a16:creationId xmlns:a16="http://schemas.microsoft.com/office/drawing/2014/main" id="{09231BB5-05E0-4154-8A58-B687655D84E8}"/>
            </a:ext>
          </a:extLst>
        </xdr:cNvPr>
        <xdr:cNvSpPr txBox="1"/>
      </xdr:nvSpPr>
      <xdr:spPr>
        <a:xfrm>
          <a:off x="8195881" y="9373394"/>
          <a:ext cx="1151298" cy="4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2B13D2-C47E-4767-93F0-E7D430AD0A2C}"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10</xdr:col>
      <xdr:colOff>734480</xdr:colOff>
      <xdr:row>42</xdr:row>
      <xdr:rowOff>67733</xdr:rowOff>
    </xdr:from>
    <xdr:to>
      <xdr:col>13</xdr:col>
      <xdr:colOff>268816</xdr:colOff>
      <xdr:row>45</xdr:row>
      <xdr:rowOff>14817</xdr:rowOff>
    </xdr:to>
    <xdr:sp macro="" textlink="">
      <xdr:nvSpPr>
        <xdr:cNvPr id="102" name="ZoneTexte 101">
          <a:extLst>
            <a:ext uri="{FF2B5EF4-FFF2-40B4-BE49-F238E27FC236}">
              <a16:creationId xmlns:a16="http://schemas.microsoft.com/office/drawing/2014/main" id="{107DA535-EFF3-434B-A8B1-8B9365655D9D}"/>
            </a:ext>
          </a:extLst>
        </xdr:cNvPr>
        <xdr:cNvSpPr txBox="1"/>
      </xdr:nvSpPr>
      <xdr:spPr>
        <a:xfrm>
          <a:off x="7858386" y="8441796"/>
          <a:ext cx="1826289" cy="5423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fidélisation</a:t>
          </a:r>
        </a:p>
      </xdr:txBody>
    </xdr:sp>
    <xdr:clientData/>
  </xdr:twoCellAnchor>
  <xdr:twoCellAnchor>
    <xdr:from>
      <xdr:col>11</xdr:col>
      <xdr:colOff>40280</xdr:colOff>
      <xdr:row>37</xdr:row>
      <xdr:rowOff>88899</xdr:rowOff>
    </xdr:from>
    <xdr:to>
      <xdr:col>13</xdr:col>
      <xdr:colOff>199030</xdr:colOff>
      <xdr:row>40</xdr:row>
      <xdr:rowOff>35983</xdr:rowOff>
    </xdr:to>
    <xdr:sp macro="" textlink="">
      <xdr:nvSpPr>
        <xdr:cNvPr id="103" name="ZoneTexte 102">
          <a:extLst>
            <a:ext uri="{FF2B5EF4-FFF2-40B4-BE49-F238E27FC236}">
              <a16:creationId xmlns:a16="http://schemas.microsoft.com/office/drawing/2014/main" id="{60EAD6CA-E2E6-420C-8D5B-8810CE9333DE}"/>
            </a:ext>
          </a:extLst>
        </xdr:cNvPr>
        <xdr:cNvSpPr txBox="1"/>
      </xdr:nvSpPr>
      <xdr:spPr>
        <a:xfrm>
          <a:off x="7928171" y="7470774"/>
          <a:ext cx="1686718" cy="542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Nb visites / RDV</a:t>
          </a:r>
        </a:p>
        <a:p>
          <a:pPr marL="0" indent="0" algn="ctr"/>
          <a:r>
            <a:rPr lang="fr-FR" sz="1300" b="1" i="0" u="none" strike="noStrike">
              <a:solidFill>
                <a:srgbClr val="6D6D6D"/>
              </a:solidFill>
              <a:latin typeface="Calibri"/>
              <a:ea typeface="Calibri"/>
              <a:cs typeface="Calibri"/>
            </a:rPr>
            <a:t>entreprises</a:t>
          </a:r>
        </a:p>
      </xdr:txBody>
    </xdr:sp>
    <xdr:clientData/>
  </xdr:twoCellAnchor>
  <xdr:twoCellAnchor>
    <xdr:from>
      <xdr:col>11</xdr:col>
      <xdr:colOff>438152</xdr:colOff>
      <xdr:row>35</xdr:row>
      <xdr:rowOff>173568</xdr:rowOff>
    </xdr:from>
    <xdr:to>
      <xdr:col>12</xdr:col>
      <xdr:colOff>416986</xdr:colOff>
      <xdr:row>37</xdr:row>
      <xdr:rowOff>194734</xdr:rowOff>
    </xdr:to>
    <xdr:sp macro="" textlink="'🏭 Production'!K9">
      <xdr:nvSpPr>
        <xdr:cNvPr id="104" name="ZoneTexte 103">
          <a:extLst>
            <a:ext uri="{FF2B5EF4-FFF2-40B4-BE49-F238E27FC236}">
              <a16:creationId xmlns:a16="http://schemas.microsoft.com/office/drawing/2014/main" id="{B2D628F8-9A3A-4806-9331-7700A0908A25}"/>
            </a:ext>
          </a:extLst>
        </xdr:cNvPr>
        <xdr:cNvSpPr txBox="1"/>
      </xdr:nvSpPr>
      <xdr:spPr>
        <a:xfrm>
          <a:off x="8301569" y="7253818"/>
          <a:ext cx="740834"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AB8E36-A947-4855-88DE-545352FB4675}" type="TxLink">
            <a:rPr lang="en-US" sz="1200" b="0" i="0" u="none" strike="noStrike">
              <a:solidFill>
                <a:srgbClr val="000000"/>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666750</xdr:colOff>
      <xdr:row>34</xdr:row>
      <xdr:rowOff>105833</xdr:rowOff>
    </xdr:from>
    <xdr:to>
      <xdr:col>10</xdr:col>
      <xdr:colOff>687916</xdr:colOff>
      <xdr:row>51</xdr:row>
      <xdr:rowOff>63500</xdr:rowOff>
    </xdr:to>
    <xdr:cxnSp macro="">
      <xdr:nvCxnSpPr>
        <xdr:cNvPr id="106" name="Connecteur droit 105">
          <a:extLst>
            <a:ext uri="{FF2B5EF4-FFF2-40B4-BE49-F238E27FC236}">
              <a16:creationId xmlns:a16="http://schemas.microsoft.com/office/drawing/2014/main" id="{4E248925-71FC-E428-BC1A-4CBA612569BE}"/>
            </a:ext>
          </a:extLst>
        </xdr:cNvPr>
        <xdr:cNvCxnSpPr/>
      </xdr:nvCxnSpPr>
      <xdr:spPr>
        <a:xfrm>
          <a:off x="7768167" y="6985000"/>
          <a:ext cx="21166" cy="337608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103187</xdr:colOff>
      <xdr:row>42</xdr:row>
      <xdr:rowOff>13230</xdr:rowOff>
    </xdr:from>
    <xdr:to>
      <xdr:col>13</xdr:col>
      <xdr:colOff>452437</xdr:colOff>
      <xdr:row>42</xdr:row>
      <xdr:rowOff>13230</xdr:rowOff>
    </xdr:to>
    <xdr:cxnSp macro="">
      <xdr:nvCxnSpPr>
        <xdr:cNvPr id="108" name="Connecteur droit 107">
          <a:extLst>
            <a:ext uri="{FF2B5EF4-FFF2-40B4-BE49-F238E27FC236}">
              <a16:creationId xmlns:a16="http://schemas.microsoft.com/office/drawing/2014/main" id="{07DB45AB-E38D-6A87-1242-633C6B0D99CF}"/>
            </a:ext>
          </a:extLst>
        </xdr:cNvPr>
        <xdr:cNvCxnSpPr/>
      </xdr:nvCxnSpPr>
      <xdr:spPr>
        <a:xfrm>
          <a:off x="5725583" y="8387293"/>
          <a:ext cx="4185708"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54506</xdr:colOff>
      <xdr:row>39</xdr:row>
      <xdr:rowOff>167615</xdr:rowOff>
    </xdr:from>
    <xdr:to>
      <xdr:col>10</xdr:col>
      <xdr:colOff>33341</xdr:colOff>
      <xdr:row>41</xdr:row>
      <xdr:rowOff>179257</xdr:rowOff>
    </xdr:to>
    <xdr:sp macro="" textlink="'🏭 Production'!G11">
      <xdr:nvSpPr>
        <xdr:cNvPr id="109" name="PartenairesVar">
          <a:extLst>
            <a:ext uri="{FF2B5EF4-FFF2-40B4-BE49-F238E27FC236}">
              <a16:creationId xmlns:a16="http://schemas.microsoft.com/office/drawing/2014/main" id="{DFF3991D-6E83-4D06-BA66-0F8965E71F2A}"/>
            </a:ext>
          </a:extLst>
        </xdr:cNvPr>
        <xdr:cNvSpPr txBox="1"/>
      </xdr:nvSpPr>
      <xdr:spPr>
        <a:xfrm>
          <a:off x="6414428" y="7946365"/>
          <a:ext cx="742819" cy="408517"/>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F382BD4-2292-413C-AE52-BBE5B010F623}" type="TxLink">
            <a:rPr lang="en-US" sz="1600" b="0" i="0" u="none" strike="noStrike">
              <a:solidFill>
                <a:srgbClr val="2E7D6B"/>
              </a:solidFill>
              <a:latin typeface="Calibri"/>
              <a:ea typeface="Calibri"/>
              <a:cs typeface="Calibri"/>
            </a:rPr>
            <a:pPr marL="0" indent="0" algn="ctr"/>
            <a:t>0</a:t>
          </a:fld>
          <a:endParaRPr lang="fr-FR" sz="4400" b="1" i="0" u="none" strike="noStrike">
            <a:solidFill>
              <a:srgbClr val="2E7D6B"/>
            </a:solidFill>
            <a:latin typeface="Calibri"/>
            <a:ea typeface="Calibri"/>
            <a:cs typeface="Calibri"/>
          </a:endParaRPr>
        </a:p>
      </xdr:txBody>
    </xdr:sp>
    <xdr:clientData/>
  </xdr:twoCellAnchor>
  <xdr:twoCellAnchor>
    <xdr:from>
      <xdr:col>11</xdr:col>
      <xdr:colOff>512230</xdr:colOff>
      <xdr:row>35</xdr:row>
      <xdr:rowOff>52917</xdr:rowOff>
    </xdr:from>
    <xdr:to>
      <xdr:col>12</xdr:col>
      <xdr:colOff>491064</xdr:colOff>
      <xdr:row>37</xdr:row>
      <xdr:rowOff>74083</xdr:rowOff>
    </xdr:to>
    <xdr:sp macro="" textlink="'🏭 Production'!E12">
      <xdr:nvSpPr>
        <xdr:cNvPr id="116" name="ZoneTexte 115">
          <a:extLst>
            <a:ext uri="{FF2B5EF4-FFF2-40B4-BE49-F238E27FC236}">
              <a16:creationId xmlns:a16="http://schemas.microsoft.com/office/drawing/2014/main" id="{3432D5D8-57DC-4043-AB3C-27DEDF967C6F}"/>
            </a:ext>
          </a:extLst>
        </xdr:cNvPr>
        <xdr:cNvSpPr txBox="1"/>
      </xdr:nvSpPr>
      <xdr:spPr>
        <a:xfrm>
          <a:off x="8400121" y="7037917"/>
          <a:ext cx="742818" cy="418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B589C2-1BAA-4A3A-BDB2-20202010C873}" type="TxLink">
            <a:rPr lang="en-US" sz="2400" b="1" i="0" u="none" strike="noStrike">
              <a:solidFill>
                <a:srgbClr val="000000"/>
              </a:solidFill>
              <a:latin typeface="Calibri"/>
              <a:ea typeface="Calibri"/>
              <a:cs typeface="Calibri"/>
            </a:rPr>
            <a:pPr marL="0" indent="0" algn="ctr"/>
            <a:t>0</a:t>
          </a:fld>
          <a:endParaRPr lang="fr-FR" sz="4400" b="1" i="0" u="none" strike="noStrike">
            <a:solidFill>
              <a:srgbClr val="212121"/>
            </a:solidFill>
            <a:latin typeface="Calibri"/>
            <a:ea typeface="Calibri"/>
            <a:cs typeface="Calibri"/>
          </a:endParaRPr>
        </a:p>
      </xdr:txBody>
    </xdr:sp>
    <xdr:clientData/>
  </xdr:twoCellAnchor>
  <xdr:twoCellAnchor>
    <xdr:from>
      <xdr:col>8</xdr:col>
      <xdr:colOff>539749</xdr:colOff>
      <xdr:row>47</xdr:row>
      <xdr:rowOff>9790</xdr:rowOff>
    </xdr:from>
    <xdr:to>
      <xdr:col>10</xdr:col>
      <xdr:colOff>158749</xdr:colOff>
      <xdr:row>49</xdr:row>
      <xdr:rowOff>28311</xdr:rowOff>
    </xdr:to>
    <xdr:sp macro="" textlink="'🏭 Production'!E13">
      <xdr:nvSpPr>
        <xdr:cNvPr id="117" name="ZoneTexte 116">
          <a:extLst>
            <a:ext uri="{FF2B5EF4-FFF2-40B4-BE49-F238E27FC236}">
              <a16:creationId xmlns:a16="http://schemas.microsoft.com/office/drawing/2014/main" id="{83C6B53C-9ADC-4819-A591-235B12BECC33}"/>
            </a:ext>
          </a:extLst>
        </xdr:cNvPr>
        <xdr:cNvSpPr txBox="1"/>
      </xdr:nvSpPr>
      <xdr:spPr>
        <a:xfrm>
          <a:off x="6135687" y="9376040"/>
          <a:ext cx="1146968" cy="41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A930784-B5BD-40C0-8C4E-187CDF458A5E}" type="TxLink">
            <a:rPr lang="en-US" sz="2400" b="1" i="0" u="none" strike="noStrike">
              <a:solidFill>
                <a:srgbClr val="000000"/>
              </a:solidFill>
              <a:latin typeface="Calibri"/>
              <a:ea typeface="Calibri"/>
              <a:cs typeface="Calibri"/>
            </a:rPr>
            <a:pPr marL="0" indent="0" algn="ctr"/>
            <a:t>0,00%</a:t>
          </a:fld>
          <a:endParaRPr lang="fr-FR" sz="4400" b="1" i="0" u="none" strike="noStrike">
            <a:solidFill>
              <a:srgbClr val="212121"/>
            </a:solidFill>
            <a:latin typeface="Calibri"/>
            <a:ea typeface="Calibri"/>
            <a:cs typeface="Calibri"/>
          </a:endParaRPr>
        </a:p>
      </xdr:txBody>
    </xdr:sp>
    <xdr:clientData/>
  </xdr:twoCellAnchor>
  <xdr:twoCellAnchor>
    <xdr:from>
      <xdr:col>16</xdr:col>
      <xdr:colOff>487941</xdr:colOff>
      <xdr:row>31</xdr:row>
      <xdr:rowOff>99144</xdr:rowOff>
    </xdr:from>
    <xdr:to>
      <xdr:col>19</xdr:col>
      <xdr:colOff>23380</xdr:colOff>
      <xdr:row>42</xdr:row>
      <xdr:rowOff>22419</xdr:rowOff>
    </xdr:to>
    <xdr:sp macro="" textlink="">
      <xdr:nvSpPr>
        <xdr:cNvPr id="119" name="Rectangle : coins arrondis 118">
          <a:extLst>
            <a:ext uri="{FF2B5EF4-FFF2-40B4-BE49-F238E27FC236}">
              <a16:creationId xmlns:a16="http://schemas.microsoft.com/office/drawing/2014/main" id="{51763B42-7B85-48C7-9C2B-18EB560FB53E}"/>
            </a:ext>
          </a:extLst>
        </xdr:cNvPr>
        <xdr:cNvSpPr/>
      </xdr:nvSpPr>
      <xdr:spPr>
        <a:xfrm>
          <a:off x="12101947" y="6182155"/>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bénévoles actifs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42</xdr:row>
      <xdr:rowOff>97892</xdr:rowOff>
    </xdr:from>
    <xdr:to>
      <xdr:col>16</xdr:col>
      <xdr:colOff>372581</xdr:colOff>
      <xdr:row>53</xdr:row>
      <xdr:rowOff>21167</xdr:rowOff>
    </xdr:to>
    <xdr:sp macro="" textlink="">
      <xdr:nvSpPr>
        <xdr:cNvPr id="121" name="Rectangle : coins arrondis 120">
          <a:extLst>
            <a:ext uri="{FF2B5EF4-FFF2-40B4-BE49-F238E27FC236}">
              <a16:creationId xmlns:a16="http://schemas.microsoft.com/office/drawing/2014/main" id="{0DF7A37A-C122-4CCD-9821-76ABF0E97158}"/>
            </a:ext>
          </a:extLst>
        </xdr:cNvPr>
        <xdr:cNvSpPr/>
      </xdr:nvSpPr>
      <xdr:spPr>
        <a:xfrm>
          <a:off x="10179387" y="8324028"/>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de partenariats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487941</xdr:colOff>
      <xdr:row>42</xdr:row>
      <xdr:rowOff>97892</xdr:rowOff>
    </xdr:from>
    <xdr:to>
      <xdr:col>19</xdr:col>
      <xdr:colOff>23380</xdr:colOff>
      <xdr:row>53</xdr:row>
      <xdr:rowOff>21167</xdr:rowOff>
    </xdr:to>
    <xdr:sp macro="" textlink="">
      <xdr:nvSpPr>
        <xdr:cNvPr id="122" name="Rectangle : coins arrondis 121">
          <a:extLst>
            <a:ext uri="{FF2B5EF4-FFF2-40B4-BE49-F238E27FC236}">
              <a16:creationId xmlns:a16="http://schemas.microsoft.com/office/drawing/2014/main" id="{D85F597D-4705-43BB-9127-5A305DDBA81E}"/>
            </a:ext>
          </a:extLst>
        </xdr:cNvPr>
        <xdr:cNvSpPr/>
      </xdr:nvSpPr>
      <xdr:spPr>
        <a:xfrm>
          <a:off x="12101947" y="8324028"/>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événements communication</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616070</xdr:colOff>
      <xdr:row>35</xdr:row>
      <xdr:rowOff>135924</xdr:rowOff>
    </xdr:from>
    <xdr:to>
      <xdr:col>15</xdr:col>
      <xdr:colOff>594905</xdr:colOff>
      <xdr:row>37</xdr:row>
      <xdr:rowOff>157090</xdr:rowOff>
    </xdr:to>
    <xdr:sp macro="" textlink="'🏛️ Gouvernance'!E4">
      <xdr:nvSpPr>
        <xdr:cNvPr id="125" name="ZoneTexte 124">
          <a:extLst>
            <a:ext uri="{FF2B5EF4-FFF2-40B4-BE49-F238E27FC236}">
              <a16:creationId xmlns:a16="http://schemas.microsoft.com/office/drawing/2014/main" id="{3FFE0871-7458-4014-AD4B-DAD7BD45DDCE}"/>
            </a:ext>
          </a:extLst>
        </xdr:cNvPr>
        <xdr:cNvSpPr txBox="1"/>
      </xdr:nvSpPr>
      <xdr:spPr>
        <a:xfrm>
          <a:off x="10714735" y="6998254"/>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DD1382-576E-4BF1-8555-C8AA3A405351}"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35</xdr:row>
      <xdr:rowOff>147613</xdr:rowOff>
    </xdr:from>
    <xdr:to>
      <xdr:col>18</xdr:col>
      <xdr:colOff>245078</xdr:colOff>
      <xdr:row>37</xdr:row>
      <xdr:rowOff>168779</xdr:rowOff>
    </xdr:to>
    <xdr:sp macro="" textlink="'🏛️ Gouvernance'!E5">
      <xdr:nvSpPr>
        <xdr:cNvPr id="126" name="ZoneTexte 125">
          <a:extLst>
            <a:ext uri="{FF2B5EF4-FFF2-40B4-BE49-F238E27FC236}">
              <a16:creationId xmlns:a16="http://schemas.microsoft.com/office/drawing/2014/main" id="{E9937BE9-736D-4DBD-94CD-03B900CE1C8D}"/>
            </a:ext>
          </a:extLst>
        </xdr:cNvPr>
        <xdr:cNvSpPr txBox="1"/>
      </xdr:nvSpPr>
      <xdr:spPr>
        <a:xfrm>
          <a:off x="12637920" y="7009943"/>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4DE23DD-670E-42BE-8621-73E83FD5000D}"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14</xdr:col>
      <xdr:colOff>616070</xdr:colOff>
      <xdr:row>46</xdr:row>
      <xdr:rowOff>146361</xdr:rowOff>
    </xdr:from>
    <xdr:to>
      <xdr:col>15</xdr:col>
      <xdr:colOff>594905</xdr:colOff>
      <xdr:row>48</xdr:row>
      <xdr:rowOff>167527</xdr:rowOff>
    </xdr:to>
    <xdr:sp macro="" textlink="'🏛️ Gouvernance'!E6">
      <xdr:nvSpPr>
        <xdr:cNvPr id="127" name="ZoneTexte 126">
          <a:extLst>
            <a:ext uri="{FF2B5EF4-FFF2-40B4-BE49-F238E27FC236}">
              <a16:creationId xmlns:a16="http://schemas.microsoft.com/office/drawing/2014/main" id="{AA249B35-FBF0-4D8A-9B95-D4CF5B6D2665}"/>
            </a:ext>
          </a:extLst>
        </xdr:cNvPr>
        <xdr:cNvSpPr txBox="1"/>
      </xdr:nvSpPr>
      <xdr:spPr>
        <a:xfrm>
          <a:off x="10714735"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7439AC-EA7F-460F-B681-713ECC0C65B9}"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46</xdr:row>
      <xdr:rowOff>146361</xdr:rowOff>
    </xdr:from>
    <xdr:to>
      <xdr:col>18</xdr:col>
      <xdr:colOff>245078</xdr:colOff>
      <xdr:row>48</xdr:row>
      <xdr:rowOff>167527</xdr:rowOff>
    </xdr:to>
    <xdr:sp macro="" textlink="'🏛️ Gouvernance'!J8">
      <xdr:nvSpPr>
        <xdr:cNvPr id="128" name="ZoneTexte 127">
          <a:extLst>
            <a:ext uri="{FF2B5EF4-FFF2-40B4-BE49-F238E27FC236}">
              <a16:creationId xmlns:a16="http://schemas.microsoft.com/office/drawing/2014/main" id="{44665446-D9A6-4F1C-92A7-940E974B333B}"/>
            </a:ext>
          </a:extLst>
        </xdr:cNvPr>
        <xdr:cNvSpPr txBox="1"/>
      </xdr:nvSpPr>
      <xdr:spPr>
        <a:xfrm>
          <a:off x="12637920"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030C4DE-F29A-4068-A46E-E322FFB912EA}" type="TxLink">
            <a:rPr lang="en-US" sz="2800" b="1" i="0" u="none" strike="noStrike">
              <a:solidFill>
                <a:srgbClr val="000000"/>
              </a:solidFill>
              <a:latin typeface="Calibri"/>
              <a:ea typeface="Calibri"/>
              <a:cs typeface="Calibri"/>
            </a:rPr>
            <a:pPr marL="0" indent="0" algn="ctr"/>
            <a:t>0</a:t>
          </a:fld>
          <a:endParaRPr lang="en-US" sz="4800" b="1" i="0" u="none" strike="noStrike">
            <a:solidFill>
              <a:srgbClr val="000000"/>
            </a:solidFill>
            <a:latin typeface="Calibri"/>
            <a:ea typeface="Calibri"/>
            <a:cs typeface="Calibri"/>
          </a:endParaRPr>
        </a:p>
      </xdr:txBody>
    </xdr:sp>
    <xdr:clientData/>
  </xdr:twoCellAnchor>
  <xdr:twoCellAnchor>
    <xdr:from>
      <xdr:col>8</xdr:col>
      <xdr:colOff>52433</xdr:colOff>
      <xdr:row>26</xdr:row>
      <xdr:rowOff>50460</xdr:rowOff>
    </xdr:from>
    <xdr:to>
      <xdr:col>10</xdr:col>
      <xdr:colOff>211183</xdr:colOff>
      <xdr:row>28</xdr:row>
      <xdr:rowOff>192373</xdr:rowOff>
    </xdr:to>
    <xdr:sp macro="" textlink="">
      <xdr:nvSpPr>
        <xdr:cNvPr id="129" name="ZoneTexte 128">
          <a:extLst>
            <a:ext uri="{FF2B5EF4-FFF2-40B4-BE49-F238E27FC236}">
              <a16:creationId xmlns:a16="http://schemas.microsoft.com/office/drawing/2014/main" id="{5C42ABEC-EC0C-4910-979B-0993A136F4E6}"/>
            </a:ext>
          </a:extLst>
        </xdr:cNvPr>
        <xdr:cNvSpPr txBox="1"/>
      </xdr:nvSpPr>
      <xdr:spPr>
        <a:xfrm>
          <a:off x="5605075" y="5159324"/>
          <a:ext cx="1674091"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Nombre d'élèves</a:t>
          </a:r>
        </a:p>
      </xdr:txBody>
    </xdr:sp>
    <xdr:clientData/>
  </xdr:twoCellAnchor>
  <xdr:twoCellAnchor>
    <xdr:from>
      <xdr:col>10</xdr:col>
      <xdr:colOff>270433</xdr:colOff>
      <xdr:row>26</xdr:row>
      <xdr:rowOff>50460</xdr:rowOff>
    </xdr:from>
    <xdr:to>
      <xdr:col>13</xdr:col>
      <xdr:colOff>43952</xdr:colOff>
      <xdr:row>28</xdr:row>
      <xdr:rowOff>192373</xdr:rowOff>
    </xdr:to>
    <xdr:sp macro="" textlink="">
      <xdr:nvSpPr>
        <xdr:cNvPr id="130" name="ZoneTexte 129">
          <a:extLst>
            <a:ext uri="{FF2B5EF4-FFF2-40B4-BE49-F238E27FC236}">
              <a16:creationId xmlns:a16="http://schemas.microsoft.com/office/drawing/2014/main" id="{0966CCB9-F281-41D8-8664-800E3166974B}"/>
            </a:ext>
          </a:extLst>
        </xdr:cNvPr>
        <xdr:cNvSpPr txBox="1"/>
      </xdr:nvSpPr>
      <xdr:spPr>
        <a:xfrm>
          <a:off x="733841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d'assiduité</a:t>
          </a:r>
        </a:p>
      </xdr:txBody>
    </xdr:sp>
    <xdr:clientData/>
  </xdr:twoCellAnchor>
  <xdr:twoCellAnchor>
    <xdr:from>
      <xdr:col>13</xdr:col>
      <xdr:colOff>103202</xdr:colOff>
      <xdr:row>26</xdr:row>
      <xdr:rowOff>50460</xdr:rowOff>
    </xdr:from>
    <xdr:to>
      <xdr:col>15</xdr:col>
      <xdr:colOff>634391</xdr:colOff>
      <xdr:row>28</xdr:row>
      <xdr:rowOff>192373</xdr:rowOff>
    </xdr:to>
    <xdr:sp macro="" textlink="">
      <xdr:nvSpPr>
        <xdr:cNvPr id="131" name="ZoneTexte 130">
          <a:extLst>
            <a:ext uri="{FF2B5EF4-FFF2-40B4-BE49-F238E27FC236}">
              <a16:creationId xmlns:a16="http://schemas.microsoft.com/office/drawing/2014/main" id="{BAA5AADE-789F-4644-A40F-94699FB02462}"/>
            </a:ext>
          </a:extLst>
        </xdr:cNvPr>
        <xdr:cNvSpPr txBox="1"/>
      </xdr:nvSpPr>
      <xdr:spPr>
        <a:xfrm>
          <a:off x="944419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Coût moyen par elève</a:t>
          </a:r>
        </a:p>
      </xdr:txBody>
    </xdr:sp>
    <xdr:clientData/>
  </xdr:twoCellAnchor>
  <xdr:twoCellAnchor>
    <xdr:from>
      <xdr:col>15</xdr:col>
      <xdr:colOff>693640</xdr:colOff>
      <xdr:row>26</xdr:row>
      <xdr:rowOff>50460</xdr:rowOff>
    </xdr:from>
    <xdr:to>
      <xdr:col>18</xdr:col>
      <xdr:colOff>467158</xdr:colOff>
      <xdr:row>28</xdr:row>
      <xdr:rowOff>192373</xdr:rowOff>
    </xdr:to>
    <xdr:sp macro="" textlink="">
      <xdr:nvSpPr>
        <xdr:cNvPr id="132" name="ZoneTexte 131">
          <a:extLst>
            <a:ext uri="{FF2B5EF4-FFF2-40B4-BE49-F238E27FC236}">
              <a16:creationId xmlns:a16="http://schemas.microsoft.com/office/drawing/2014/main" id="{22ED8632-7787-4A89-B2A9-90CAEC6D6391}"/>
            </a:ext>
          </a:extLst>
        </xdr:cNvPr>
        <xdr:cNvSpPr txBox="1"/>
      </xdr:nvSpPr>
      <xdr:spPr>
        <a:xfrm>
          <a:off x="11549975"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satisfaction</a:t>
          </a:r>
        </a:p>
      </xdr:txBody>
    </xdr:sp>
    <xdr:clientData/>
  </xdr:twoCellAnchor>
  <xdr:twoCellAnchor editAs="oneCell">
    <xdr:from>
      <xdr:col>14</xdr:col>
      <xdr:colOff>593778</xdr:colOff>
      <xdr:row>48</xdr:row>
      <xdr:rowOff>108237</xdr:rowOff>
    </xdr:from>
    <xdr:to>
      <xdr:col>15</xdr:col>
      <xdr:colOff>651559</xdr:colOff>
      <xdr:row>52</xdr:row>
      <xdr:rowOff>144370</xdr:rowOff>
    </xdr:to>
    <xdr:pic>
      <xdr:nvPicPr>
        <xdr:cNvPr id="136" name="Graphique 135" descr="Poignée de main avec un remplissage uni">
          <a:extLst>
            <a:ext uri="{FF2B5EF4-FFF2-40B4-BE49-F238E27FC236}">
              <a16:creationId xmlns:a16="http://schemas.microsoft.com/office/drawing/2014/main" id="{A328E343-4177-C542-FC5C-473964A4236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692443" y="9503351"/>
          <a:ext cx="815451" cy="815451"/>
        </a:xfrm>
        <a:prstGeom prst="rect">
          <a:avLst/>
        </a:prstGeom>
      </xdr:spPr>
    </xdr:pic>
    <xdr:clientData/>
  </xdr:twoCellAnchor>
  <xdr:twoCellAnchor editAs="oneCell">
    <xdr:from>
      <xdr:col>14</xdr:col>
      <xdr:colOff>635539</xdr:colOff>
      <xdr:row>37</xdr:row>
      <xdr:rowOff>162358</xdr:rowOff>
    </xdr:from>
    <xdr:to>
      <xdr:col>15</xdr:col>
      <xdr:colOff>626843</xdr:colOff>
      <xdr:row>41</xdr:row>
      <xdr:rowOff>132014</xdr:rowOff>
    </xdr:to>
    <xdr:pic>
      <xdr:nvPicPr>
        <xdr:cNvPr id="138" name="Graphique 137" descr="Calendrier à feuilles avec un remplissage uni">
          <a:extLst>
            <a:ext uri="{FF2B5EF4-FFF2-40B4-BE49-F238E27FC236}">
              <a16:creationId xmlns:a16="http://schemas.microsoft.com/office/drawing/2014/main" id="{8CF85A2D-AE50-D2E4-A52B-A5A57B19EEA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34204" y="7414347"/>
          <a:ext cx="748974" cy="748974"/>
        </a:xfrm>
        <a:prstGeom prst="rect">
          <a:avLst/>
        </a:prstGeom>
      </xdr:spPr>
    </xdr:pic>
    <xdr:clientData/>
  </xdr:twoCellAnchor>
  <xdr:twoCellAnchor>
    <xdr:from>
      <xdr:col>8</xdr:col>
      <xdr:colOff>521226</xdr:colOff>
      <xdr:row>28</xdr:row>
      <xdr:rowOff>39375</xdr:rowOff>
    </xdr:from>
    <xdr:to>
      <xdr:col>9</xdr:col>
      <xdr:colOff>500060</xdr:colOff>
      <xdr:row>30</xdr:row>
      <xdr:rowOff>60541</xdr:rowOff>
    </xdr:to>
    <xdr:sp macro="" textlink="'🎓 Pédagogie'!E3">
      <xdr:nvSpPr>
        <xdr:cNvPr id="141" name="ZoneTexte 140">
          <a:extLst>
            <a:ext uri="{FF2B5EF4-FFF2-40B4-BE49-F238E27FC236}">
              <a16:creationId xmlns:a16="http://schemas.microsoft.com/office/drawing/2014/main" id="{B68F656F-84C2-43E5-BCA3-BF58466058AC}"/>
            </a:ext>
          </a:extLst>
        </xdr:cNvPr>
        <xdr:cNvSpPr txBox="1"/>
      </xdr:nvSpPr>
      <xdr:spPr>
        <a:xfrm>
          <a:off x="6073868" y="5537898"/>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1A85EB6-405D-4A2E-AE07-4893F299D304}"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10</xdr:col>
      <xdr:colOff>724363</xdr:colOff>
      <xdr:row>28</xdr:row>
      <xdr:rowOff>39374</xdr:rowOff>
    </xdr:from>
    <xdr:to>
      <xdr:col>12</xdr:col>
      <xdr:colOff>347693</xdr:colOff>
      <xdr:row>30</xdr:row>
      <xdr:rowOff>60541</xdr:rowOff>
    </xdr:to>
    <xdr:sp macro="" textlink="'🎓 Pédagogie'!E5">
      <xdr:nvSpPr>
        <xdr:cNvPr id="143" name="ZoneTexte 142">
          <a:extLst>
            <a:ext uri="{FF2B5EF4-FFF2-40B4-BE49-F238E27FC236}">
              <a16:creationId xmlns:a16="http://schemas.microsoft.com/office/drawing/2014/main" id="{E8C85F0B-B679-4051-9A62-0C18834FCE38}"/>
            </a:ext>
          </a:extLst>
        </xdr:cNvPr>
        <xdr:cNvSpPr txBox="1"/>
      </xdr:nvSpPr>
      <xdr:spPr>
        <a:xfrm>
          <a:off x="7792346" y="5537897"/>
          <a:ext cx="1138671"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A54D14-A80A-4A1A-ABD3-E8E8E4EFF2C7}" type="TxLink">
            <a:rPr lang="en-US" sz="1800" b="1" i="0" u="none" strike="noStrike">
              <a:solidFill>
                <a:srgbClr val="000000"/>
              </a:solidFill>
              <a:latin typeface="Calibri"/>
              <a:ea typeface="Calibri"/>
              <a:cs typeface="Calibri"/>
            </a:rPr>
            <a:pPr marL="0" indent="0" algn="ctr"/>
            <a:t>0,00%</a:t>
          </a:fld>
          <a:endParaRPr lang="fr-FR" sz="3600" b="1" i="0" u="none" strike="noStrike">
            <a:solidFill>
              <a:srgbClr val="212121"/>
            </a:solidFill>
            <a:latin typeface="Calibri"/>
            <a:ea typeface="Calibri"/>
            <a:cs typeface="Calibri"/>
          </a:endParaRPr>
        </a:p>
      </xdr:txBody>
    </xdr:sp>
    <xdr:clientData/>
  </xdr:twoCellAnchor>
  <xdr:twoCellAnchor>
    <xdr:from>
      <xdr:col>13</xdr:col>
      <xdr:colOff>256492</xdr:colOff>
      <xdr:row>28</xdr:row>
      <xdr:rowOff>45678</xdr:rowOff>
    </xdr:from>
    <xdr:to>
      <xdr:col>15</xdr:col>
      <xdr:colOff>481102</xdr:colOff>
      <xdr:row>30</xdr:row>
      <xdr:rowOff>60541</xdr:rowOff>
    </xdr:to>
    <xdr:sp macro="" textlink="'🎓 Pédagogie'!E11">
      <xdr:nvSpPr>
        <xdr:cNvPr id="144" name="ZoneTexte 143">
          <a:extLst>
            <a:ext uri="{FF2B5EF4-FFF2-40B4-BE49-F238E27FC236}">
              <a16:creationId xmlns:a16="http://schemas.microsoft.com/office/drawing/2014/main" id="{2B174401-AFA5-425C-89C7-0A961A289D6A}"/>
            </a:ext>
          </a:extLst>
        </xdr:cNvPr>
        <xdr:cNvSpPr txBox="1"/>
      </xdr:nvSpPr>
      <xdr:spPr>
        <a:xfrm>
          <a:off x="9597486" y="5544201"/>
          <a:ext cx="1739951" cy="40452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22A1A0-980B-4DAC-8AFD-8E57EA447FC2}" type="TxLink">
            <a:rPr lang="en-US" sz="1800" b="1" i="0" u="none" strike="noStrike">
              <a:solidFill>
                <a:srgbClr val="212121"/>
              </a:solidFill>
              <a:latin typeface="Calibri"/>
              <a:ea typeface="Calibri"/>
              <a:cs typeface="Calibri"/>
            </a:rPr>
            <a:pPr marL="0" indent="0" algn="ctr"/>
            <a:t>0</a:t>
          </a:fld>
          <a:endParaRPr lang="fr-FR" sz="1800" b="1" i="0" u="none" strike="noStrike">
            <a:solidFill>
              <a:srgbClr val="212121"/>
            </a:solidFill>
            <a:latin typeface="Calibri"/>
            <a:ea typeface="Calibri"/>
            <a:cs typeface="Calibri"/>
          </a:endParaRPr>
        </a:p>
      </xdr:txBody>
    </xdr:sp>
    <xdr:clientData/>
  </xdr:twoCellAnchor>
  <xdr:twoCellAnchor>
    <xdr:from>
      <xdr:col>16</xdr:col>
      <xdr:colOff>200699</xdr:colOff>
      <xdr:row>28</xdr:row>
      <xdr:rowOff>39374</xdr:rowOff>
    </xdr:from>
    <xdr:to>
      <xdr:col>18</xdr:col>
      <xdr:colOff>202428</xdr:colOff>
      <xdr:row>30</xdr:row>
      <xdr:rowOff>60541</xdr:rowOff>
    </xdr:to>
    <xdr:sp macro="" textlink="'🎓 Pédagogie'!E10">
      <xdr:nvSpPr>
        <xdr:cNvPr id="145" name="ZoneTexte 144">
          <a:extLst>
            <a:ext uri="{FF2B5EF4-FFF2-40B4-BE49-F238E27FC236}">
              <a16:creationId xmlns:a16="http://schemas.microsoft.com/office/drawing/2014/main" id="{CED48D15-7220-43C8-8ECD-3FA8E04BF62C}"/>
            </a:ext>
          </a:extLst>
        </xdr:cNvPr>
        <xdr:cNvSpPr txBox="1"/>
      </xdr:nvSpPr>
      <xdr:spPr>
        <a:xfrm>
          <a:off x="11814705" y="5537897"/>
          <a:ext cx="1517070"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C22524-B379-4D20-94F8-321DCB757795}" type="TxLink">
            <a:rPr lang="en-US" sz="1800" b="1" i="0" u="none" strike="noStrike">
              <a:solidFill>
                <a:srgbClr val="000000"/>
              </a:solidFill>
              <a:latin typeface="Calibri"/>
              <a:ea typeface="Calibri"/>
              <a:cs typeface="Calibri"/>
            </a:rPr>
            <a:pPr marL="0" indent="0" algn="ctr"/>
            <a:t>0,00%</a:t>
          </a:fld>
          <a:endParaRPr lang="fr-FR" sz="6000" b="1" i="0" u="none" strike="noStrike">
            <a:solidFill>
              <a:srgbClr val="212121"/>
            </a:solidFill>
            <a:latin typeface="Calibri"/>
            <a:ea typeface="Calibri"/>
            <a:cs typeface="Calibri"/>
          </a:endParaRPr>
        </a:p>
      </xdr:txBody>
    </xdr:sp>
    <xdr:clientData/>
  </xdr:twoCellAnchor>
  <xdr:twoCellAnchor editAs="oneCell">
    <xdr:from>
      <xdr:col>17</xdr:col>
      <xdr:colOff>270598</xdr:colOff>
      <xdr:row>38</xdr:row>
      <xdr:rowOff>21648</xdr:rowOff>
    </xdr:from>
    <xdr:to>
      <xdr:col>18</xdr:col>
      <xdr:colOff>210849</xdr:colOff>
      <xdr:row>41</xdr:row>
      <xdr:rowOff>135081</xdr:rowOff>
    </xdr:to>
    <xdr:pic>
      <xdr:nvPicPr>
        <xdr:cNvPr id="149" name="Graphique 148" descr="Groupe d’hommes avec un remplissage uni">
          <a:extLst>
            <a:ext uri="{FF2B5EF4-FFF2-40B4-BE49-F238E27FC236}">
              <a16:creationId xmlns:a16="http://schemas.microsoft.com/office/drawing/2014/main" id="{B66B2E64-71CE-739F-333E-7897C6D0FA6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642274" y="7468466"/>
          <a:ext cx="697922" cy="697922"/>
        </a:xfrm>
        <a:prstGeom prst="rect">
          <a:avLst/>
        </a:prstGeom>
      </xdr:spPr>
    </xdr:pic>
    <xdr:clientData/>
  </xdr:twoCellAnchor>
  <xdr:twoCellAnchor editAs="oneCell">
    <xdr:from>
      <xdr:col>17</xdr:col>
      <xdr:colOff>681902</xdr:colOff>
      <xdr:row>27</xdr:row>
      <xdr:rowOff>129886</xdr:rowOff>
    </xdr:from>
    <xdr:to>
      <xdr:col>18</xdr:col>
      <xdr:colOff>400482</xdr:colOff>
      <xdr:row>30</xdr:row>
      <xdr:rowOff>21648</xdr:rowOff>
    </xdr:to>
    <xdr:pic>
      <xdr:nvPicPr>
        <xdr:cNvPr id="151" name="Graphique 150" descr="Compteur bas avec un remplissage uni">
          <a:extLst>
            <a:ext uri="{FF2B5EF4-FFF2-40B4-BE49-F238E27FC236}">
              <a16:creationId xmlns:a16="http://schemas.microsoft.com/office/drawing/2014/main" id="{6B393A04-2F8E-4E84-9D2E-6DF7A65D8C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053578" y="5433579"/>
          <a:ext cx="476251" cy="476251"/>
        </a:xfrm>
        <a:prstGeom prst="rect">
          <a:avLst/>
        </a:prstGeom>
      </xdr:spPr>
    </xdr:pic>
    <xdr:clientData/>
  </xdr:twoCellAnchor>
  <xdr:twoCellAnchor editAs="oneCell">
    <xdr:from>
      <xdr:col>14</xdr:col>
      <xdr:colOff>649431</xdr:colOff>
      <xdr:row>27</xdr:row>
      <xdr:rowOff>184006</xdr:rowOff>
    </xdr:from>
    <xdr:to>
      <xdr:col>15</xdr:col>
      <xdr:colOff>378835</xdr:colOff>
      <xdr:row>30</xdr:row>
      <xdr:rowOff>86591</xdr:rowOff>
    </xdr:to>
    <xdr:pic>
      <xdr:nvPicPr>
        <xdr:cNvPr id="152" name="Graphique 151" descr="Euro avec un remplissage uni">
          <a:extLst>
            <a:ext uri="{FF2B5EF4-FFF2-40B4-BE49-F238E27FC236}">
              <a16:creationId xmlns:a16="http://schemas.microsoft.com/office/drawing/2014/main" id="{2BF8E968-D8C5-4636-BB1B-079D0720FE1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48096" y="5487699"/>
          <a:ext cx="487074" cy="487074"/>
        </a:xfrm>
        <a:prstGeom prst="rect">
          <a:avLst/>
        </a:prstGeom>
      </xdr:spPr>
    </xdr:pic>
    <xdr:clientData/>
  </xdr:twoCellAnchor>
  <xdr:twoCellAnchor editAs="oneCell">
    <xdr:from>
      <xdr:col>12</xdr:col>
      <xdr:colOff>151533</xdr:colOff>
      <xdr:row>27</xdr:row>
      <xdr:rowOff>194829</xdr:rowOff>
    </xdr:from>
    <xdr:to>
      <xdr:col>12</xdr:col>
      <xdr:colOff>638606</xdr:colOff>
      <xdr:row>30</xdr:row>
      <xdr:rowOff>97413</xdr:rowOff>
    </xdr:to>
    <xdr:pic>
      <xdr:nvPicPr>
        <xdr:cNvPr id="153" name="Graphique 152" descr="Ruban avec un remplissage uni">
          <a:extLst>
            <a:ext uri="{FF2B5EF4-FFF2-40B4-BE49-F238E27FC236}">
              <a16:creationId xmlns:a16="http://schemas.microsoft.com/office/drawing/2014/main" id="{BEBD563B-6E58-475C-B3C9-7551F1F530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734857" y="5498522"/>
          <a:ext cx="487073" cy="487073"/>
        </a:xfrm>
        <a:prstGeom prst="rect">
          <a:avLst/>
        </a:prstGeom>
      </xdr:spPr>
    </xdr:pic>
    <xdr:clientData/>
  </xdr:twoCellAnchor>
  <xdr:twoCellAnchor editAs="oneCell">
    <xdr:from>
      <xdr:col>17</xdr:col>
      <xdr:colOff>317499</xdr:colOff>
      <xdr:row>49</xdr:row>
      <xdr:rowOff>14816</xdr:rowOff>
    </xdr:from>
    <xdr:to>
      <xdr:col>18</xdr:col>
      <xdr:colOff>194027</xdr:colOff>
      <xdr:row>52</xdr:row>
      <xdr:rowOff>67733</xdr:rowOff>
    </xdr:to>
    <xdr:pic>
      <xdr:nvPicPr>
        <xdr:cNvPr id="155" name="Graphique 154" descr="Mégaphone avec un remplissage uni">
          <a:extLst>
            <a:ext uri="{FF2B5EF4-FFF2-40B4-BE49-F238E27FC236}">
              <a16:creationId xmlns:a16="http://schemas.microsoft.com/office/drawing/2014/main" id="{0248DA95-29C2-DA80-B70F-297996568FB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699999" y="9575094"/>
          <a:ext cx="635000" cy="635000"/>
        </a:xfrm>
        <a:prstGeom prst="rect">
          <a:avLst/>
        </a:prstGeom>
      </xdr:spPr>
    </xdr:pic>
    <xdr:clientData/>
  </xdr:twoCellAnchor>
  <xdr:twoCellAnchor>
    <xdr:from>
      <xdr:col>8</xdr:col>
      <xdr:colOff>739672</xdr:colOff>
      <xdr:row>40</xdr:row>
      <xdr:rowOff>54588</xdr:rowOff>
    </xdr:from>
    <xdr:to>
      <xdr:col>9</xdr:col>
      <xdr:colOff>214033</xdr:colOff>
      <xdr:row>41</xdr:row>
      <xdr:rowOff>86338</xdr:rowOff>
    </xdr:to>
    <xdr:sp macro="" textlink="">
      <xdr:nvSpPr>
        <xdr:cNvPr id="600" name="flechebas" hidden="1">
          <a:extLst>
            <a:ext uri="{FF2B5EF4-FFF2-40B4-BE49-F238E27FC236}">
              <a16:creationId xmlns:a16="http://schemas.microsoft.com/office/drawing/2014/main" id="{8AE5D950-582C-B5E5-DAD9-A6D61B9E7A8C}"/>
            </a:ext>
          </a:extLst>
        </xdr:cNvPr>
        <xdr:cNvSpPr/>
      </xdr:nvSpPr>
      <xdr:spPr>
        <a:xfrm>
          <a:off x="6362068" y="8031776"/>
          <a:ext cx="241653" cy="230187"/>
        </a:xfrm>
        <a:prstGeom prst="flowChartMerge">
          <a:avLst/>
        </a:prstGeom>
        <a:solidFill>
          <a:srgbClr val="F57C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550333</xdr:colOff>
      <xdr:row>9</xdr:row>
      <xdr:rowOff>70557</xdr:rowOff>
    </xdr:from>
    <xdr:to>
      <xdr:col>6</xdr:col>
      <xdr:colOff>603250</xdr:colOff>
      <xdr:row>13</xdr:row>
      <xdr:rowOff>90665</xdr:rowOff>
    </xdr:to>
    <xdr:pic>
      <xdr:nvPicPr>
        <xdr:cNvPr id="598" name="PouceHaut" descr="Signe pouce en haut avec un remplissage uni">
          <a:extLst>
            <a:ext uri="{FF2B5EF4-FFF2-40B4-BE49-F238E27FC236}">
              <a16:creationId xmlns:a16="http://schemas.microsoft.com/office/drawing/2014/main" id="{FC76CEBE-1304-4F44-A45F-ACBBE1A81F1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852333" y="1959682"/>
          <a:ext cx="814917" cy="845608"/>
        </a:xfrm>
        <a:prstGeom prst="rect">
          <a:avLst/>
        </a:prstGeom>
      </xdr:spPr>
    </xdr:pic>
    <xdr:clientData/>
  </xdr:twoCellAnchor>
  <xdr:twoCellAnchor editAs="oneCell">
    <xdr:from>
      <xdr:col>9</xdr:col>
      <xdr:colOff>649818</xdr:colOff>
      <xdr:row>7</xdr:row>
      <xdr:rowOff>148166</xdr:rowOff>
    </xdr:from>
    <xdr:to>
      <xdr:col>10</xdr:col>
      <xdr:colOff>438567</xdr:colOff>
      <xdr:row>10</xdr:row>
      <xdr:rowOff>95665</xdr:rowOff>
    </xdr:to>
    <xdr:pic>
      <xdr:nvPicPr>
        <xdr:cNvPr id="89" name="HautCAN-1" descr="Curseur avec un remplissage uni">
          <a:extLst>
            <a:ext uri="{FF2B5EF4-FFF2-40B4-BE49-F238E27FC236}">
              <a16:creationId xmlns:a16="http://schemas.microsoft.com/office/drawing/2014/main" id="{C84B00A5-1016-0A63-7861-5FCBF25A195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6989235" y="1598083"/>
          <a:ext cx="550749" cy="550749"/>
        </a:xfrm>
        <a:prstGeom prst="rect">
          <a:avLst/>
        </a:prstGeom>
      </xdr:spPr>
    </xdr:pic>
    <xdr:clientData/>
  </xdr:twoCellAnchor>
  <xdr:twoCellAnchor editAs="oneCell">
    <xdr:from>
      <xdr:col>11</xdr:col>
      <xdr:colOff>431802</xdr:colOff>
      <xdr:row>7</xdr:row>
      <xdr:rowOff>162982</xdr:rowOff>
    </xdr:from>
    <xdr:to>
      <xdr:col>12</xdr:col>
      <xdr:colOff>220551</xdr:colOff>
      <xdr:row>10</xdr:row>
      <xdr:rowOff>110481</xdr:rowOff>
    </xdr:to>
    <xdr:pic>
      <xdr:nvPicPr>
        <xdr:cNvPr id="95" name="HautCACible" descr="Curseur avec un remplissage uni">
          <a:extLst>
            <a:ext uri="{FF2B5EF4-FFF2-40B4-BE49-F238E27FC236}">
              <a16:creationId xmlns:a16="http://schemas.microsoft.com/office/drawing/2014/main" id="{4BFE8C63-86EC-46E1-A5E4-27EDF57D5BD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8295219" y="1612899"/>
          <a:ext cx="550749" cy="550749"/>
        </a:xfrm>
        <a:prstGeom prst="rect">
          <a:avLst/>
        </a:prstGeom>
      </xdr:spPr>
    </xdr:pic>
    <xdr:clientData/>
  </xdr:twoCellAnchor>
  <xdr:twoCellAnchor editAs="oneCell">
    <xdr:from>
      <xdr:col>5</xdr:col>
      <xdr:colOff>451827</xdr:colOff>
      <xdr:row>10</xdr:row>
      <xdr:rowOff>56197</xdr:rowOff>
    </xdr:from>
    <xdr:to>
      <xdr:col>6</xdr:col>
      <xdr:colOff>505559</xdr:colOff>
      <xdr:row>13</xdr:row>
      <xdr:rowOff>124925</xdr:rowOff>
    </xdr:to>
    <xdr:pic>
      <xdr:nvPicPr>
        <xdr:cNvPr id="11" name="PouceBas" hidden="1">
          <a:extLst>
            <a:ext uri="{FF2B5EF4-FFF2-40B4-BE49-F238E27FC236}">
              <a16:creationId xmlns:a16="http://schemas.microsoft.com/office/drawing/2014/main" id="{9E21CB2D-2780-0E10-F630-B237B4C57F4B}"/>
            </a:ext>
          </a:extLst>
        </xdr:cNvPr>
        <xdr:cNvPicPr>
          <a:picLocks noChangeAspect="1"/>
        </xdr:cNvPicPr>
      </xdr:nvPicPr>
      <xdr:blipFill>
        <a:blip xmlns:r="http://schemas.openxmlformats.org/officeDocument/2006/relationships" r:embed="rId23"/>
        <a:stretch>
          <a:fillRect/>
        </a:stretch>
      </xdr:blipFill>
      <xdr:spPr>
        <a:xfrm>
          <a:off x="3748942" y="2078428"/>
          <a:ext cx="815732" cy="662209"/>
        </a:xfrm>
        <a:prstGeom prst="rect">
          <a:avLst/>
        </a:prstGeom>
      </xdr:spPr>
    </xdr:pic>
    <xdr:clientData/>
  </xdr:twoCellAnchor>
  <xdr:twoCellAnchor>
    <xdr:from>
      <xdr:col>8</xdr:col>
      <xdr:colOff>673359</xdr:colOff>
      <xdr:row>40</xdr:row>
      <xdr:rowOff>26458</xdr:rowOff>
    </xdr:from>
    <xdr:to>
      <xdr:col>9</xdr:col>
      <xdr:colOff>175943</xdr:colOff>
      <xdr:row>41</xdr:row>
      <xdr:rowOff>79375</xdr:rowOff>
    </xdr:to>
    <xdr:sp macro="" textlink="">
      <xdr:nvSpPr>
        <xdr:cNvPr id="599" name="flechehaut">
          <a:extLst>
            <a:ext uri="{FF2B5EF4-FFF2-40B4-BE49-F238E27FC236}">
              <a16:creationId xmlns:a16="http://schemas.microsoft.com/office/drawing/2014/main" id="{447010A7-3BA6-C2B5-49D1-1006E8C1B1CF}"/>
            </a:ext>
          </a:extLst>
        </xdr:cNvPr>
        <xdr:cNvSpPr/>
      </xdr:nvSpPr>
      <xdr:spPr>
        <a:xfrm>
          <a:off x="6295755" y="8003646"/>
          <a:ext cx="269876" cy="251354"/>
        </a:xfrm>
        <a:prstGeom prst="flowChartExtract">
          <a:avLst/>
        </a:prstGeom>
        <a:solidFill>
          <a:srgbClr val="2E7D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2E7D6B"/>
            </a:solidFill>
          </a:endParaRPr>
        </a:p>
      </xdr:txBody>
    </xdr:sp>
    <xdr:clientData/>
  </xdr:twoCellAnchor>
  <xdr:twoCellAnchor editAs="oneCell">
    <xdr:from>
      <xdr:col>9</xdr:col>
      <xdr:colOff>574433</xdr:colOff>
      <xdr:row>7</xdr:row>
      <xdr:rowOff>196855</xdr:rowOff>
    </xdr:from>
    <xdr:to>
      <xdr:col>10</xdr:col>
      <xdr:colOff>322553</xdr:colOff>
      <xdr:row>10</xdr:row>
      <xdr:rowOff>97472</xdr:rowOff>
    </xdr:to>
    <xdr:pic>
      <xdr:nvPicPr>
        <xdr:cNvPr id="90" name="basCAN-1" descr="Curseur avec un remplissage uni" hidden="1">
          <a:extLst>
            <a:ext uri="{FF2B5EF4-FFF2-40B4-BE49-F238E27FC236}">
              <a16:creationId xmlns:a16="http://schemas.microsoft.com/office/drawing/2014/main" id="{13C55421-CA3B-4DF1-A901-B13B3D85F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flipH="1" flipV="1">
          <a:off x="6920464" y="1649418"/>
          <a:ext cx="510120" cy="507835"/>
        </a:xfrm>
        <a:prstGeom prst="rect">
          <a:avLst/>
        </a:prstGeom>
      </xdr:spPr>
    </xdr:pic>
    <xdr:clientData/>
  </xdr:twoCellAnchor>
  <xdr:twoCellAnchor editAs="oneCell">
    <xdr:from>
      <xdr:col>11</xdr:col>
      <xdr:colOff>357972</xdr:colOff>
      <xdr:row>7</xdr:row>
      <xdr:rowOff>193032</xdr:rowOff>
    </xdr:from>
    <xdr:to>
      <xdr:col>12</xdr:col>
      <xdr:colOff>106092</xdr:colOff>
      <xdr:row>10</xdr:row>
      <xdr:rowOff>99902</xdr:rowOff>
    </xdr:to>
    <xdr:pic>
      <xdr:nvPicPr>
        <xdr:cNvPr id="96" name="basCACible" descr="Curseur avec un remplissage uni" hidden="1">
          <a:extLst>
            <a:ext uri="{FF2B5EF4-FFF2-40B4-BE49-F238E27FC236}">
              <a16:creationId xmlns:a16="http://schemas.microsoft.com/office/drawing/2014/main" id="{C0F35E90-0C37-4449-80F3-CEE7A5B417F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flipH="1" flipV="1">
          <a:off x="8228003" y="1645595"/>
          <a:ext cx="510120" cy="514088"/>
        </a:xfrm>
        <a:prstGeom prst="rect">
          <a:avLst/>
        </a:prstGeom>
      </xdr:spPr>
    </xdr:pic>
    <xdr:clientData/>
  </xdr:twoCellAnchor>
  <xdr:twoCellAnchor>
    <xdr:from>
      <xdr:col>7</xdr:col>
      <xdr:colOff>185209</xdr:colOff>
      <xdr:row>14</xdr:row>
      <xdr:rowOff>39687</xdr:rowOff>
    </xdr:from>
    <xdr:to>
      <xdr:col>12</xdr:col>
      <xdr:colOff>709084</xdr:colOff>
      <xdr:row>22</xdr:row>
      <xdr:rowOff>188312</xdr:rowOff>
    </xdr:to>
    <xdr:graphicFrame macro="">
      <xdr:nvGraphicFramePr>
        <xdr:cNvPr id="32" name="Graphique 12">
          <a:extLst>
            <a:ext uri="{FF2B5EF4-FFF2-40B4-BE49-F238E27FC236}">
              <a16:creationId xmlns:a16="http://schemas.microsoft.com/office/drawing/2014/main" id="{DBEF83D6-9F38-4BEC-89F6-75D7BDFD7A69}"/>
            </a:ext>
            <a:ext uri="{147F2762-F138-4A5C-976F-8EAC2B608ADB}">
              <a16:predDERef xmlns:a16="http://schemas.microsoft.com/office/drawing/2014/main" pred="{A04F34F4-C2BA-4E36-89CF-214233316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238124</xdr:colOff>
      <xdr:row>17</xdr:row>
      <xdr:rowOff>119063</xdr:rowOff>
    </xdr:from>
    <xdr:to>
      <xdr:col>7</xdr:col>
      <xdr:colOff>105831</xdr:colOff>
      <xdr:row>29</xdr:row>
      <xdr:rowOff>108478</xdr:rowOff>
    </xdr:to>
    <xdr:graphicFrame macro="">
      <xdr:nvGraphicFramePr>
        <xdr:cNvPr id="34" name="Graphique 12">
          <a:extLst>
            <a:ext uri="{FF2B5EF4-FFF2-40B4-BE49-F238E27FC236}">
              <a16:creationId xmlns:a16="http://schemas.microsoft.com/office/drawing/2014/main" id="{C0F7079A-3C27-4132-ABE9-629A0C41B0DB}"/>
            </a:ext>
            <a:ext uri="{147F2762-F138-4A5C-976F-8EAC2B608ADB}">
              <a16:predDERef xmlns:a16="http://schemas.microsoft.com/office/drawing/2014/main" pred="{9CF042B7-0E71-4295-B909-13B7F167A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504824</xdr:colOff>
      <xdr:row>44</xdr:row>
      <xdr:rowOff>159544</xdr:rowOff>
    </xdr:from>
    <xdr:to>
      <xdr:col>17</xdr:col>
      <xdr:colOff>685799</xdr:colOff>
      <xdr:row>51</xdr:row>
      <xdr:rowOff>100014</xdr:rowOff>
    </xdr:to>
    <xdr:graphicFrame macro="">
      <xdr:nvGraphicFramePr>
        <xdr:cNvPr id="3" name="Graphique 2">
          <a:extLst>
            <a:ext uri="{FF2B5EF4-FFF2-40B4-BE49-F238E27FC236}">
              <a16:creationId xmlns:a16="http://schemas.microsoft.com/office/drawing/2014/main" id="{176668C8-603A-4E40-98C8-0DBA05051169}"/>
            </a:ext>
            <a:ext uri="{147F2762-F138-4A5C-976F-8EAC2B608ADB}">
              <a16:predDERef xmlns:a16="http://schemas.microsoft.com/office/drawing/2014/main" pred="{5BC7308D-1D04-4771-B0B2-247F28983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563562</xdr:colOff>
      <xdr:row>45</xdr:row>
      <xdr:rowOff>55563</xdr:rowOff>
    </xdr:from>
    <xdr:to>
      <xdr:col>24</xdr:col>
      <xdr:colOff>744537</xdr:colOff>
      <xdr:row>51</xdr:row>
      <xdr:rowOff>136261</xdr:rowOff>
    </xdr:to>
    <xdr:graphicFrame macro="">
      <xdr:nvGraphicFramePr>
        <xdr:cNvPr id="6" name="Graphique 5">
          <a:extLst>
            <a:ext uri="{FF2B5EF4-FFF2-40B4-BE49-F238E27FC236}">
              <a16:creationId xmlns:a16="http://schemas.microsoft.com/office/drawing/2014/main" id="{EF03DED3-BB2A-42BB-AD5E-350A039DB1B3}"/>
            </a:ext>
            <a:ext uri="{147F2762-F138-4A5C-976F-8EAC2B608ADB}">
              <a16:predDERef xmlns:a16="http://schemas.microsoft.com/office/drawing/2014/main" pred="{176668C8-603A-4E40-98C8-0DBA05051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656167</xdr:colOff>
      <xdr:row>9</xdr:row>
      <xdr:rowOff>10584</xdr:rowOff>
    </xdr:from>
    <xdr:to>
      <xdr:col>6</xdr:col>
      <xdr:colOff>709084</xdr:colOff>
      <xdr:row>13</xdr:row>
      <xdr:rowOff>21167</xdr:rowOff>
    </xdr:to>
    <xdr:pic>
      <xdr:nvPicPr>
        <xdr:cNvPr id="16" name="PouceBas" descr="Signe pouce en haut avec un remplissage uni" hidden="1">
          <a:extLst>
            <a:ext uri="{FF2B5EF4-FFF2-40B4-BE49-F238E27FC236}">
              <a16:creationId xmlns:a16="http://schemas.microsoft.com/office/drawing/2014/main" id="{4F3975FF-D9D1-4CDD-AE95-43671295A48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951817" y="1848909"/>
          <a:ext cx="814917" cy="810683"/>
        </a:xfrm>
        <a:prstGeom prst="rect">
          <a:avLst/>
        </a:prstGeom>
      </xdr:spPr>
    </xdr:pic>
    <xdr:clientData/>
  </xdr:twoCellAnchor>
  <xdr:twoCellAnchor>
    <xdr:from>
      <xdr:col>1</xdr:col>
      <xdr:colOff>125015</xdr:colOff>
      <xdr:row>4</xdr:row>
      <xdr:rowOff>147636</xdr:rowOff>
    </xdr:from>
    <xdr:to>
      <xdr:col>6</xdr:col>
      <xdr:colOff>635015</xdr:colOff>
      <xdr:row>10</xdr:row>
      <xdr:rowOff>35718</xdr:rowOff>
    </xdr:to>
    <xdr:sp macro="" textlink="">
      <xdr:nvSpPr>
        <xdr:cNvPr id="84" name="Rectangle arrondi 16">
          <a:extLst>
            <a:ext uri="{FF2B5EF4-FFF2-40B4-BE49-F238E27FC236}">
              <a16:creationId xmlns:a16="http://schemas.microsoft.com/office/drawing/2014/main" id="{FE0458E7-AE67-4551-9BEA-9A0B443CE1B9}"/>
            </a:ext>
            <a:ext uri="{147F2762-F138-4A5C-976F-8EAC2B608ADB}">
              <a16:predDERef xmlns:a16="http://schemas.microsoft.com/office/drawing/2014/main" pred="{2742911B-B19E-4CCB-AFE2-C6B3BF2D5BEB}"/>
            </a:ext>
          </a:extLst>
        </xdr:cNvPr>
        <xdr:cNvSpPr/>
      </xdr:nvSpPr>
      <xdr:spPr>
        <a:xfrm>
          <a:off x="375046" y="9929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CA/élève</a:t>
          </a:r>
        </a:p>
      </xdr:txBody>
    </xdr:sp>
    <xdr:clientData/>
  </xdr:twoCellAnchor>
  <xdr:twoCellAnchor>
    <xdr:from>
      <xdr:col>2</xdr:col>
      <xdr:colOff>677671</xdr:colOff>
      <xdr:row>6</xdr:row>
      <xdr:rowOff>114083</xdr:rowOff>
    </xdr:from>
    <xdr:to>
      <xdr:col>5</xdr:col>
      <xdr:colOff>153796</xdr:colOff>
      <xdr:row>8</xdr:row>
      <xdr:rowOff>69270</xdr:rowOff>
    </xdr:to>
    <xdr:sp macro="" textlink="'🏭 Production'!J6">
      <xdr:nvSpPr>
        <xdr:cNvPr id="20" name="ZoneTexte 19">
          <a:extLst>
            <a:ext uri="{FF2B5EF4-FFF2-40B4-BE49-F238E27FC236}">
              <a16:creationId xmlns:a16="http://schemas.microsoft.com/office/drawing/2014/main" id="{6F78F30D-514B-4D6D-A540-CC5983652A85}"/>
            </a:ext>
            <a:ext uri="{147F2762-F138-4A5C-976F-8EAC2B608ADB}">
              <a16:predDERef xmlns:a16="http://schemas.microsoft.com/office/drawing/2014/main" pred="{326844A4-3311-4AF1-AF7B-E419D09EF580}"/>
            </a:ext>
          </a:extLst>
        </xdr:cNvPr>
        <xdr:cNvSpPr txBox="1"/>
      </xdr:nvSpPr>
      <xdr:spPr>
        <a:xfrm>
          <a:off x="1689702" y="1364239"/>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D2F030-A1A2-4359-8B24-3CA49D98EF28}" type="TxLink">
            <a:rPr lang="en-US" sz="2400" b="1" i="0" u="none" strike="noStrike">
              <a:solidFill>
                <a:srgbClr val="1C2833"/>
              </a:solidFill>
              <a:latin typeface="Calibri"/>
              <a:ea typeface="Calibri"/>
              <a:cs typeface="Calibri"/>
            </a:rPr>
            <a:pPr marL="0" indent="0" algn="ctr"/>
            <a:t> </a:t>
          </a:fld>
          <a:endParaRPr lang="fr-FR" sz="2400" b="1" i="0" u="none" strike="noStrike">
            <a:solidFill>
              <a:srgbClr val="1C2833"/>
            </a:solidFill>
            <a:latin typeface="Calibri"/>
            <a:ea typeface="Calibri"/>
            <a:cs typeface="Calibri"/>
          </a:endParaRPr>
        </a:p>
      </xdr:txBody>
    </xdr:sp>
    <xdr:clientData/>
  </xdr:twoCellAnchor>
  <xdr:twoCellAnchor>
    <xdr:from>
      <xdr:col>1</xdr:col>
      <xdr:colOff>125015</xdr:colOff>
      <xdr:row>10</xdr:row>
      <xdr:rowOff>101599</xdr:rowOff>
    </xdr:from>
    <xdr:to>
      <xdr:col>6</xdr:col>
      <xdr:colOff>635015</xdr:colOff>
      <xdr:row>15</xdr:row>
      <xdr:rowOff>192086</xdr:rowOff>
    </xdr:to>
    <xdr:sp macro="" textlink="">
      <xdr:nvSpPr>
        <xdr:cNvPr id="86" name="Rectangle arrondi 16">
          <a:extLst>
            <a:ext uri="{FF2B5EF4-FFF2-40B4-BE49-F238E27FC236}">
              <a16:creationId xmlns:a16="http://schemas.microsoft.com/office/drawing/2014/main" id="{637DF8CA-D1E0-40A0-A2BD-F08D1AD6F3E7}"/>
            </a:ext>
            <a:ext uri="{147F2762-F138-4A5C-976F-8EAC2B608ADB}">
              <a16:predDERef xmlns:a16="http://schemas.microsoft.com/office/drawing/2014/main" pred="{2742911B-B19E-4CCB-AFE2-C6B3BF2D5BEB}"/>
            </a:ext>
          </a:extLst>
        </xdr:cNvPr>
        <xdr:cNvSpPr/>
      </xdr:nvSpPr>
      <xdr:spPr>
        <a:xfrm>
          <a:off x="375046" y="21613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Coût / élève</a:t>
          </a:r>
        </a:p>
      </xdr:txBody>
    </xdr:sp>
    <xdr:clientData/>
  </xdr:twoCellAnchor>
  <xdr:twoCellAnchor>
    <xdr:from>
      <xdr:col>1</xdr:col>
      <xdr:colOff>125015</xdr:colOff>
      <xdr:row>16</xdr:row>
      <xdr:rowOff>55561</xdr:rowOff>
    </xdr:from>
    <xdr:to>
      <xdr:col>6</xdr:col>
      <xdr:colOff>635015</xdr:colOff>
      <xdr:row>21</xdr:row>
      <xdr:rowOff>110330</xdr:rowOff>
    </xdr:to>
    <xdr:sp macro="" textlink="">
      <xdr:nvSpPr>
        <xdr:cNvPr id="87" name="Rectangle arrondi 16">
          <a:extLst>
            <a:ext uri="{FF2B5EF4-FFF2-40B4-BE49-F238E27FC236}">
              <a16:creationId xmlns:a16="http://schemas.microsoft.com/office/drawing/2014/main" id="{189CCCF1-CBFD-4A16-8B14-F902C66249E3}"/>
            </a:ext>
            <a:ext uri="{147F2762-F138-4A5C-976F-8EAC2B608ADB}">
              <a16:predDERef xmlns:a16="http://schemas.microsoft.com/office/drawing/2014/main" pred="{2742911B-B19E-4CCB-AFE2-C6B3BF2D5BEB}"/>
            </a:ext>
          </a:extLst>
        </xdr:cNvPr>
        <xdr:cNvSpPr/>
      </xdr:nvSpPr>
      <xdr:spPr>
        <a:xfrm>
          <a:off x="375046" y="33297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 d'élèves</a:t>
          </a:r>
        </a:p>
      </xdr:txBody>
    </xdr:sp>
    <xdr:clientData/>
  </xdr:twoCellAnchor>
  <xdr:twoCellAnchor>
    <xdr:from>
      <xdr:col>1</xdr:col>
      <xdr:colOff>125015</xdr:colOff>
      <xdr:row>21</xdr:row>
      <xdr:rowOff>176212</xdr:rowOff>
    </xdr:from>
    <xdr:to>
      <xdr:col>6</xdr:col>
      <xdr:colOff>635015</xdr:colOff>
      <xdr:row>27</xdr:row>
      <xdr:rowOff>64294</xdr:rowOff>
    </xdr:to>
    <xdr:sp macro="" textlink="">
      <xdr:nvSpPr>
        <xdr:cNvPr id="88" name="Rectangle arrondi 16">
          <a:extLst>
            <a:ext uri="{FF2B5EF4-FFF2-40B4-BE49-F238E27FC236}">
              <a16:creationId xmlns:a16="http://schemas.microsoft.com/office/drawing/2014/main" id="{ED9DDB7D-E882-4CE6-9245-F9F1B9FF795B}"/>
            </a:ext>
            <a:ext uri="{147F2762-F138-4A5C-976F-8EAC2B608ADB}">
              <a16:predDERef xmlns:a16="http://schemas.microsoft.com/office/drawing/2014/main" pred="{2742911B-B19E-4CCB-AFE2-C6B3BF2D5BEB}"/>
            </a:ext>
          </a:extLst>
        </xdr:cNvPr>
        <xdr:cNvSpPr/>
      </xdr:nvSpPr>
      <xdr:spPr>
        <a:xfrm>
          <a:off x="375046" y="4498181"/>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a:t>
          </a:r>
          <a:r>
            <a:rPr lang="en-US" sz="1800" b="0" i="0" u="none" strike="noStrike" baseline="0">
              <a:solidFill>
                <a:schemeClr val="lt1"/>
              </a:solidFill>
              <a:latin typeface="Calibri" panose="020F0502020204030204" pitchFamily="34" charset="0"/>
              <a:ea typeface="Calibri" panose="020F0502020204030204" pitchFamily="34" charset="0"/>
              <a:cs typeface="Calibri" panose="020F0502020204030204" pitchFamily="34" charset="0"/>
            </a:rPr>
            <a:t> commandes</a:t>
          </a:r>
          <a:endPar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273247</xdr:colOff>
      <xdr:row>4</xdr:row>
      <xdr:rowOff>147636</xdr:rowOff>
    </xdr:from>
    <xdr:to>
      <xdr:col>13</xdr:col>
      <xdr:colOff>21247</xdr:colOff>
      <xdr:row>10</xdr:row>
      <xdr:rowOff>35718</xdr:rowOff>
    </xdr:to>
    <xdr:sp macro="" textlink="">
      <xdr:nvSpPr>
        <xdr:cNvPr id="89" name="Rectangle arrondi 16">
          <a:extLst>
            <a:ext uri="{FF2B5EF4-FFF2-40B4-BE49-F238E27FC236}">
              <a16:creationId xmlns:a16="http://schemas.microsoft.com/office/drawing/2014/main" id="{8B05434A-60CD-4AB3-8171-A008DB509B93}"/>
            </a:ext>
            <a:ext uri="{147F2762-F138-4A5C-976F-8EAC2B608ADB}">
              <a16:predDERef xmlns:a16="http://schemas.microsoft.com/office/drawing/2014/main" pred="{2742911B-B19E-4CCB-AFE2-C6B3BF2D5BEB}"/>
            </a:ext>
          </a:extLst>
        </xdr:cNvPr>
        <xdr:cNvSpPr/>
      </xdr:nvSpPr>
      <xdr:spPr>
        <a:xfrm>
          <a:off x="5095278" y="9929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 / Ventes</a:t>
          </a:r>
        </a:p>
      </xdr:txBody>
    </xdr:sp>
    <xdr:clientData/>
  </xdr:twoCellAnchor>
  <xdr:twoCellAnchor>
    <xdr:from>
      <xdr:col>7</xdr:col>
      <xdr:colOff>273247</xdr:colOff>
      <xdr:row>10</xdr:row>
      <xdr:rowOff>101599</xdr:rowOff>
    </xdr:from>
    <xdr:to>
      <xdr:col>13</xdr:col>
      <xdr:colOff>21247</xdr:colOff>
      <xdr:row>15</xdr:row>
      <xdr:rowOff>192086</xdr:rowOff>
    </xdr:to>
    <xdr:sp macro="" textlink="">
      <xdr:nvSpPr>
        <xdr:cNvPr id="90" name="Rectangle arrondi 16">
          <a:extLst>
            <a:ext uri="{FF2B5EF4-FFF2-40B4-BE49-F238E27FC236}">
              <a16:creationId xmlns:a16="http://schemas.microsoft.com/office/drawing/2014/main" id="{C602348B-8709-46DF-9F44-51553F67CF97}"/>
            </a:ext>
            <a:ext uri="{147F2762-F138-4A5C-976F-8EAC2B608ADB}">
              <a16:predDERef xmlns:a16="http://schemas.microsoft.com/office/drawing/2014/main" pred="{2742911B-B19E-4CCB-AFE2-C6B3BF2D5BEB}"/>
            </a:ext>
          </a:extLst>
        </xdr:cNvPr>
        <xdr:cNvSpPr/>
      </xdr:nvSpPr>
      <xdr:spPr>
        <a:xfrm>
          <a:off x="5095278" y="21613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7</xdr:col>
      <xdr:colOff>273247</xdr:colOff>
      <xdr:row>16</xdr:row>
      <xdr:rowOff>55561</xdr:rowOff>
    </xdr:from>
    <xdr:to>
      <xdr:col>13</xdr:col>
      <xdr:colOff>21247</xdr:colOff>
      <xdr:row>21</xdr:row>
      <xdr:rowOff>110330</xdr:rowOff>
    </xdr:to>
    <xdr:sp macro="" textlink="">
      <xdr:nvSpPr>
        <xdr:cNvPr id="91" name="Rectangle arrondi 16">
          <a:extLst>
            <a:ext uri="{FF2B5EF4-FFF2-40B4-BE49-F238E27FC236}">
              <a16:creationId xmlns:a16="http://schemas.microsoft.com/office/drawing/2014/main" id="{7B76568E-858F-4C8F-82D3-ECCCDC078027}"/>
            </a:ext>
            <a:ext uri="{147F2762-F138-4A5C-976F-8EAC2B608ADB}">
              <a16:predDERef xmlns:a16="http://schemas.microsoft.com/office/drawing/2014/main" pred="{2742911B-B19E-4CCB-AFE2-C6B3BF2D5BEB}"/>
            </a:ext>
          </a:extLst>
        </xdr:cNvPr>
        <xdr:cNvSpPr/>
      </xdr:nvSpPr>
      <xdr:spPr>
        <a:xfrm>
          <a:off x="5095278" y="33297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%marge brute</a:t>
          </a:r>
        </a:p>
      </xdr:txBody>
    </xdr:sp>
    <xdr:clientData/>
  </xdr:twoCellAnchor>
  <xdr:twoCellAnchor>
    <xdr:from>
      <xdr:col>7</xdr:col>
      <xdr:colOff>273247</xdr:colOff>
      <xdr:row>21</xdr:row>
      <xdr:rowOff>176212</xdr:rowOff>
    </xdr:from>
    <xdr:to>
      <xdr:col>13</xdr:col>
      <xdr:colOff>21247</xdr:colOff>
      <xdr:row>27</xdr:row>
      <xdr:rowOff>64294</xdr:rowOff>
    </xdr:to>
    <xdr:sp macro="" textlink="">
      <xdr:nvSpPr>
        <xdr:cNvPr id="92" name="Rectangle arrondi 16">
          <a:extLst>
            <a:ext uri="{FF2B5EF4-FFF2-40B4-BE49-F238E27FC236}">
              <a16:creationId xmlns:a16="http://schemas.microsoft.com/office/drawing/2014/main" id="{C064F6F8-9EFD-4ED3-AA2B-72E1F2ED4709}"/>
            </a:ext>
            <a:ext uri="{147F2762-F138-4A5C-976F-8EAC2B608ADB}">
              <a16:predDERef xmlns:a16="http://schemas.microsoft.com/office/drawing/2014/main" pred="{2742911B-B19E-4CCB-AFE2-C6B3BF2D5BEB}"/>
            </a:ext>
          </a:extLst>
        </xdr:cNvPr>
        <xdr:cNvSpPr/>
      </xdr:nvSpPr>
      <xdr:spPr>
        <a:xfrm>
          <a:off x="5095278" y="4498181"/>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Trésorerie</a:t>
          </a:r>
        </a:p>
      </xdr:txBody>
    </xdr:sp>
    <xdr:clientData/>
  </xdr:twoCellAnchor>
  <xdr:twoCellAnchor>
    <xdr:from>
      <xdr:col>13</xdr:col>
      <xdr:colOff>421479</xdr:colOff>
      <xdr:row>4</xdr:row>
      <xdr:rowOff>147636</xdr:rowOff>
    </xdr:from>
    <xdr:to>
      <xdr:col>19</xdr:col>
      <xdr:colOff>169479</xdr:colOff>
      <xdr:row>10</xdr:row>
      <xdr:rowOff>35718</xdr:rowOff>
    </xdr:to>
    <xdr:sp macro="" textlink="">
      <xdr:nvSpPr>
        <xdr:cNvPr id="93" name="Rectangle arrondi 16">
          <a:extLst>
            <a:ext uri="{FF2B5EF4-FFF2-40B4-BE49-F238E27FC236}">
              <a16:creationId xmlns:a16="http://schemas.microsoft.com/office/drawing/2014/main" id="{DC42547B-FB13-49E1-B874-9A31B837A63F}"/>
            </a:ext>
            <a:ext uri="{147F2762-F138-4A5C-976F-8EAC2B608ADB}">
              <a16:predDERef xmlns:a16="http://schemas.microsoft.com/office/drawing/2014/main" pred="{2742911B-B19E-4CCB-AFE2-C6B3BF2D5BEB}"/>
            </a:ext>
          </a:extLst>
        </xdr:cNvPr>
        <xdr:cNvSpPr/>
      </xdr:nvSpPr>
      <xdr:spPr>
        <a:xfrm>
          <a:off x="9815510" y="9929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Entrreprises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partenaires</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10</xdr:row>
      <xdr:rowOff>101599</xdr:rowOff>
    </xdr:from>
    <xdr:to>
      <xdr:col>19</xdr:col>
      <xdr:colOff>169479</xdr:colOff>
      <xdr:row>15</xdr:row>
      <xdr:rowOff>192086</xdr:rowOff>
    </xdr:to>
    <xdr:sp macro="" textlink="">
      <xdr:nvSpPr>
        <xdr:cNvPr id="94" name="Rectangle arrondi 16">
          <a:extLst>
            <a:ext uri="{FF2B5EF4-FFF2-40B4-BE49-F238E27FC236}">
              <a16:creationId xmlns:a16="http://schemas.microsoft.com/office/drawing/2014/main" id="{C93E9A1D-802D-4589-8F6B-47709E90DCD1}"/>
            </a:ext>
            <a:ext uri="{147F2762-F138-4A5C-976F-8EAC2B608ADB}">
              <a16:predDERef xmlns:a16="http://schemas.microsoft.com/office/drawing/2014/main" pred="{2742911B-B19E-4CCB-AFE2-C6B3BF2D5BEB}"/>
            </a:ext>
          </a:extLst>
        </xdr:cNvPr>
        <xdr:cNvSpPr/>
      </xdr:nvSpPr>
      <xdr:spPr>
        <a:xfrm>
          <a:off x="9815510" y="21613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Réunions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Cadm</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16</xdr:row>
      <xdr:rowOff>55561</xdr:rowOff>
    </xdr:from>
    <xdr:to>
      <xdr:col>19</xdr:col>
      <xdr:colOff>169479</xdr:colOff>
      <xdr:row>21</xdr:row>
      <xdr:rowOff>110330</xdr:rowOff>
    </xdr:to>
    <xdr:sp macro="" textlink="">
      <xdr:nvSpPr>
        <xdr:cNvPr id="95" name="Rectangle arrondi 16">
          <a:extLst>
            <a:ext uri="{FF2B5EF4-FFF2-40B4-BE49-F238E27FC236}">
              <a16:creationId xmlns:a16="http://schemas.microsoft.com/office/drawing/2014/main" id="{E582FC5E-0036-4DA8-A1BC-6CBBAB962377}"/>
            </a:ext>
            <a:ext uri="{147F2762-F138-4A5C-976F-8EAC2B608ADB}">
              <a16:predDERef xmlns:a16="http://schemas.microsoft.com/office/drawing/2014/main" pred="{2742911B-B19E-4CCB-AFE2-C6B3BF2D5BEB}"/>
            </a:ext>
          </a:extLst>
        </xdr:cNvPr>
        <xdr:cNvSpPr/>
      </xdr:nvSpPr>
      <xdr:spPr>
        <a:xfrm>
          <a:off x="9815510" y="33297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Bénévoles</a:t>
          </a:r>
        </a:p>
      </xdr:txBody>
    </xdr:sp>
    <xdr:clientData/>
  </xdr:twoCellAnchor>
  <xdr:twoCellAnchor>
    <xdr:from>
      <xdr:col>13</xdr:col>
      <xdr:colOff>421479</xdr:colOff>
      <xdr:row>21</xdr:row>
      <xdr:rowOff>176212</xdr:rowOff>
    </xdr:from>
    <xdr:to>
      <xdr:col>19</xdr:col>
      <xdr:colOff>169479</xdr:colOff>
      <xdr:row>27</xdr:row>
      <xdr:rowOff>64294</xdr:rowOff>
    </xdr:to>
    <xdr:sp macro="" textlink="">
      <xdr:nvSpPr>
        <xdr:cNvPr id="96" name="Rectangle arrondi 16">
          <a:extLst>
            <a:ext uri="{FF2B5EF4-FFF2-40B4-BE49-F238E27FC236}">
              <a16:creationId xmlns:a16="http://schemas.microsoft.com/office/drawing/2014/main" id="{4321971F-5B26-4463-BCDD-286046F94C1D}"/>
            </a:ext>
            <a:ext uri="{147F2762-F138-4A5C-976F-8EAC2B608ADB}">
              <a16:predDERef xmlns:a16="http://schemas.microsoft.com/office/drawing/2014/main" pred="{2742911B-B19E-4CCB-AFE2-C6B3BF2D5BEB}"/>
            </a:ext>
          </a:extLst>
        </xdr:cNvPr>
        <xdr:cNvSpPr/>
      </xdr:nvSpPr>
      <xdr:spPr>
        <a:xfrm>
          <a:off x="9815510" y="4498181"/>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Evènements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communication</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9247</xdr:colOff>
      <xdr:row>6</xdr:row>
      <xdr:rowOff>13276</xdr:rowOff>
    </xdr:from>
    <xdr:to>
      <xdr:col>11</xdr:col>
      <xdr:colOff>285247</xdr:colOff>
      <xdr:row>8</xdr:row>
      <xdr:rowOff>170078</xdr:rowOff>
    </xdr:to>
    <xdr:sp macro="" textlink="'💰 Finances'!L6">
      <xdr:nvSpPr>
        <xdr:cNvPr id="9" name="ZoneTexte 8">
          <a:extLst>
            <a:ext uri="{FF2B5EF4-FFF2-40B4-BE49-F238E27FC236}">
              <a16:creationId xmlns:a16="http://schemas.microsoft.com/office/drawing/2014/main" id="{326844A4-3311-4AF1-AF7B-E419D09EF580}"/>
            </a:ext>
            <a:ext uri="{147F2762-F138-4A5C-976F-8EAC2B608ADB}">
              <a16:predDERef xmlns:a16="http://schemas.microsoft.com/office/drawing/2014/main" pred="{A43A9171-6C6A-484E-8CF1-484CF9F3EF54}"/>
            </a:ext>
          </a:extLst>
        </xdr:cNvPr>
        <xdr:cNvSpPr txBox="1"/>
      </xdr:nvSpPr>
      <xdr:spPr>
        <a:xfrm>
          <a:off x="6355278" y="1263432"/>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641C11-A1E8-4E9A-B5D9-C6199ABC4220}"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9</xdr:col>
      <xdr:colOff>9247</xdr:colOff>
      <xdr:row>7</xdr:row>
      <xdr:rowOff>181106</xdr:rowOff>
    </xdr:from>
    <xdr:to>
      <xdr:col>11</xdr:col>
      <xdr:colOff>285247</xdr:colOff>
      <xdr:row>10</xdr:row>
      <xdr:rowOff>135503</xdr:rowOff>
    </xdr:to>
    <xdr:sp macro="" textlink="'💰 Finances'!M6">
      <xdr:nvSpPr>
        <xdr:cNvPr id="10" name="ZoneTexte 9">
          <a:extLst>
            <a:ext uri="{FF2B5EF4-FFF2-40B4-BE49-F238E27FC236}">
              <a16:creationId xmlns:a16="http://schemas.microsoft.com/office/drawing/2014/main" id="{4B6A02BE-5285-4EE2-80AB-748319561753}"/>
            </a:ext>
            <a:ext uri="{147F2762-F138-4A5C-976F-8EAC2B608ADB}">
              <a16:predDERef xmlns:a16="http://schemas.microsoft.com/office/drawing/2014/main" pred="{A43A9171-6C6A-484E-8CF1-484CF9F3EF54}"/>
            </a:ext>
          </a:extLst>
        </xdr:cNvPr>
        <xdr:cNvSpPr txBox="1"/>
      </xdr:nvSpPr>
      <xdr:spPr>
        <a:xfrm>
          <a:off x="6355278" y="1633669"/>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5D3E15-B01B-46B5-9983-07A5BC896F29}" type="TxLink">
            <a:rPr lang="en-US" sz="1600" b="0" i="0" u="none" strike="noStrike">
              <a:solidFill>
                <a:srgbClr val="ECF0F1"/>
              </a:solidFill>
              <a:latin typeface="Calibri"/>
              <a:ea typeface="Calibri"/>
              <a:cs typeface="Calibri"/>
            </a:rPr>
            <a:pPr marL="0" indent="0" algn="ctr"/>
            <a:t>00 €</a:t>
          </a:fld>
          <a:endParaRPr lang="fr-FR" sz="1600" b="1" i="0" u="none" strike="noStrike">
            <a:solidFill>
              <a:srgbClr val="ECF0F1"/>
            </a:solidFill>
            <a:latin typeface="Calibri"/>
            <a:ea typeface="Calibri"/>
            <a:cs typeface="Calibri"/>
          </a:endParaRPr>
        </a:p>
      </xdr:txBody>
    </xdr:sp>
    <xdr:clientData/>
  </xdr:twoCellAnchor>
  <xdr:twoCellAnchor>
    <xdr:from>
      <xdr:col>8</xdr:col>
      <xdr:colOff>702872</xdr:colOff>
      <xdr:row>12</xdr:row>
      <xdr:rowOff>8597</xdr:rowOff>
    </xdr:from>
    <xdr:to>
      <xdr:col>11</xdr:col>
      <xdr:colOff>353622</xdr:colOff>
      <xdr:row>14</xdr:row>
      <xdr:rowOff>82682</xdr:rowOff>
    </xdr:to>
    <xdr:sp macro="" textlink="'💰 Finances'!K15">
      <xdr:nvSpPr>
        <xdr:cNvPr id="11" name="ZoneTexte 10">
          <a:extLst>
            <a:ext uri="{FF2B5EF4-FFF2-40B4-BE49-F238E27FC236}">
              <a16:creationId xmlns:a16="http://schemas.microsoft.com/office/drawing/2014/main" id="{7A863279-16A2-4AB8-98E8-543143838DDF}"/>
            </a:ext>
            <a:ext uri="{147F2762-F138-4A5C-976F-8EAC2B608ADB}">
              <a16:predDERef xmlns:a16="http://schemas.microsoft.com/office/drawing/2014/main" pred="{9E029C9C-ED67-483F-BA15-EB2D5760CD31}"/>
            </a:ext>
          </a:extLst>
        </xdr:cNvPr>
        <xdr:cNvSpPr txBox="1"/>
      </xdr:nvSpPr>
      <xdr:spPr>
        <a:xfrm>
          <a:off x="6286903" y="2473191"/>
          <a:ext cx="1936750" cy="478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89103A-093D-4C5B-AD0E-4CEAAA18DEFF}"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8</xdr:col>
      <xdr:colOff>471626</xdr:colOff>
      <xdr:row>14</xdr:row>
      <xdr:rowOff>11018</xdr:rowOff>
    </xdr:from>
    <xdr:to>
      <xdr:col>11</xdr:col>
      <xdr:colOff>537244</xdr:colOff>
      <xdr:row>16</xdr:row>
      <xdr:rowOff>11906</xdr:rowOff>
    </xdr:to>
    <xdr:sp macro="" textlink="'💰 Finances'!L15">
      <xdr:nvSpPr>
        <xdr:cNvPr id="26" name="ZoneTexte 25">
          <a:extLst>
            <a:ext uri="{FF2B5EF4-FFF2-40B4-BE49-F238E27FC236}">
              <a16:creationId xmlns:a16="http://schemas.microsoft.com/office/drawing/2014/main" id="{D6F96D43-A183-4B36-AC13-3DC8F8A5F0BD}"/>
            </a:ext>
            <a:ext uri="{147F2762-F138-4A5C-976F-8EAC2B608ADB}">
              <a16:predDERef xmlns:a16="http://schemas.microsoft.com/office/drawing/2014/main" pred="{A43A9171-6C6A-484E-8CF1-484CF9F3EF54}"/>
            </a:ext>
          </a:extLst>
        </xdr:cNvPr>
        <xdr:cNvSpPr txBox="1"/>
      </xdr:nvSpPr>
      <xdr:spPr>
        <a:xfrm>
          <a:off x="6055657" y="2880424"/>
          <a:ext cx="2351618" cy="40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1B74F6-ED22-47EA-A84B-43053B70F1EA}" type="TxLink">
            <a:rPr lang="en-US" sz="1600" b="0" i="0" u="none" strike="noStrike">
              <a:solidFill>
                <a:srgbClr val="ECF0F1"/>
              </a:solidFill>
              <a:latin typeface="Calibri"/>
              <a:ea typeface="Calibri"/>
              <a:cs typeface="Calibri"/>
            </a:rPr>
            <a:pPr marL="0" indent="0" algn="ctr"/>
            <a:t>00 €</a:t>
          </a:fld>
          <a:endParaRPr lang="fr-FR" sz="1600" b="0" i="0" u="none" strike="noStrike">
            <a:solidFill>
              <a:srgbClr val="ECF0F1"/>
            </a:solidFill>
            <a:latin typeface="Calibri"/>
            <a:ea typeface="Calibri"/>
            <a:cs typeface="Calibri"/>
          </a:endParaRPr>
        </a:p>
      </xdr:txBody>
    </xdr:sp>
    <xdr:clientData/>
  </xdr:twoCellAnchor>
  <xdr:twoCellAnchor>
    <xdr:from>
      <xdr:col>9</xdr:col>
      <xdr:colOff>295414</xdr:colOff>
      <xdr:row>18</xdr:row>
      <xdr:rowOff>22008</xdr:rowOff>
    </xdr:from>
    <xdr:to>
      <xdr:col>10</xdr:col>
      <xdr:colOff>761080</xdr:colOff>
      <xdr:row>19</xdr:row>
      <xdr:rowOff>143883</xdr:rowOff>
    </xdr:to>
    <xdr:sp macro="" textlink="'💰 Finances'!K18">
      <xdr:nvSpPr>
        <xdr:cNvPr id="14" name="ZoneTexte 13">
          <a:extLst>
            <a:ext uri="{FF2B5EF4-FFF2-40B4-BE49-F238E27FC236}">
              <a16:creationId xmlns:a16="http://schemas.microsoft.com/office/drawing/2014/main" id="{1E314D7E-41BA-44C6-B789-D9D68B06D863}"/>
            </a:ext>
            <a:ext uri="{147F2762-F138-4A5C-976F-8EAC2B608ADB}">
              <a16:predDERef xmlns:a16="http://schemas.microsoft.com/office/drawing/2014/main" pred="{C921222D-5D5F-4463-B0DC-8F6B6E2140EB}"/>
            </a:ext>
          </a:extLst>
        </xdr:cNvPr>
        <xdr:cNvSpPr txBox="1"/>
      </xdr:nvSpPr>
      <xdr:spPr>
        <a:xfrm>
          <a:off x="6641445" y="3701039"/>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6AFD09-38A6-4E6D-A737-ABFA31F0F032}" type="TxLink">
            <a:rPr lang="en-US" sz="2400" b="1" i="0" u="none" strike="noStrike">
              <a:solidFill>
                <a:srgbClr val="F1C40F"/>
              </a:solidFill>
              <a:latin typeface="Calibri"/>
              <a:ea typeface="Calibri"/>
              <a:cs typeface="Calibri"/>
            </a:rPr>
            <a:pPr marL="0" indent="0" algn="ctr"/>
            <a:t>0,00%</a:t>
          </a:fld>
          <a:endParaRPr lang="fr-FR" sz="2400" b="1" i="0" u="none" strike="noStrike">
            <a:solidFill>
              <a:srgbClr val="F1C40F"/>
            </a:solidFill>
            <a:latin typeface="Calibri"/>
            <a:ea typeface="Calibri"/>
            <a:cs typeface="Calibri"/>
          </a:endParaRPr>
        </a:p>
      </xdr:txBody>
    </xdr:sp>
    <xdr:clientData/>
  </xdr:twoCellAnchor>
  <xdr:twoCellAnchor>
    <xdr:from>
      <xdr:col>9</xdr:col>
      <xdr:colOff>459985</xdr:colOff>
      <xdr:row>19</xdr:row>
      <xdr:rowOff>155143</xdr:rowOff>
    </xdr:from>
    <xdr:to>
      <xdr:col>10</xdr:col>
      <xdr:colOff>596510</xdr:colOff>
      <xdr:row>21</xdr:row>
      <xdr:rowOff>110330</xdr:rowOff>
    </xdr:to>
    <xdr:sp macro="" textlink="'💰 Finances'!L18">
      <xdr:nvSpPr>
        <xdr:cNvPr id="47" name="ZoneTexte 46">
          <a:extLst>
            <a:ext uri="{FF2B5EF4-FFF2-40B4-BE49-F238E27FC236}">
              <a16:creationId xmlns:a16="http://schemas.microsoft.com/office/drawing/2014/main" id="{674A6AC5-B3F7-4258-9C19-0E5DCB84FCB5}"/>
            </a:ext>
            <a:ext uri="{147F2762-F138-4A5C-976F-8EAC2B608ADB}">
              <a16:predDERef xmlns:a16="http://schemas.microsoft.com/office/drawing/2014/main" pred="{A43A9171-6C6A-484E-8CF1-484CF9F3EF54}"/>
            </a:ext>
          </a:extLst>
        </xdr:cNvPr>
        <xdr:cNvSpPr txBox="1"/>
      </xdr:nvSpPr>
      <xdr:spPr>
        <a:xfrm>
          <a:off x="6806016"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0FEBE2-3330-4D75-98E5-FF1B7A523ED3}" type="TxLink">
            <a:rPr lang="en-US" sz="1600" b="0" i="0" u="none" strike="noStrike">
              <a:solidFill>
                <a:srgbClr val="ECF0F1"/>
              </a:solidFill>
              <a:latin typeface="Calibri"/>
              <a:ea typeface="Calibri"/>
              <a:cs typeface="Calibri"/>
            </a:rPr>
            <a:pPr marL="0" indent="0" algn="ctr"/>
            <a:t>0,00%</a:t>
          </a:fld>
          <a:endParaRPr lang="fr-FR" sz="1600" b="1" i="0" u="none" strike="noStrike">
            <a:solidFill>
              <a:srgbClr val="ECF0F1"/>
            </a:solidFill>
            <a:latin typeface="Calibri"/>
            <a:ea typeface="Calibri"/>
            <a:cs typeface="Calibri"/>
          </a:endParaRPr>
        </a:p>
      </xdr:txBody>
    </xdr:sp>
    <xdr:clientData/>
  </xdr:twoCellAnchor>
  <xdr:twoCellAnchor>
    <xdr:from>
      <xdr:col>9</xdr:col>
      <xdr:colOff>175892</xdr:colOff>
      <xdr:row>23</xdr:row>
      <xdr:rowOff>142659</xdr:rowOff>
    </xdr:from>
    <xdr:to>
      <xdr:col>11</xdr:col>
      <xdr:colOff>118603</xdr:colOff>
      <xdr:row>25</xdr:row>
      <xdr:rowOff>97846</xdr:rowOff>
    </xdr:to>
    <xdr:sp macro="" textlink="'💰 Finances'!K25">
      <xdr:nvSpPr>
        <xdr:cNvPr id="24" name="ZoneTexte 23">
          <a:extLst>
            <a:ext uri="{FF2B5EF4-FFF2-40B4-BE49-F238E27FC236}">
              <a16:creationId xmlns:a16="http://schemas.microsoft.com/office/drawing/2014/main" id="{405EB872-10E5-4424-905B-B0339634779C}"/>
            </a:ext>
            <a:ext uri="{147F2762-F138-4A5C-976F-8EAC2B608ADB}">
              <a16:predDERef xmlns:a16="http://schemas.microsoft.com/office/drawing/2014/main" pred="{C921222D-5D5F-4463-B0DC-8F6B6E2140EB}"/>
            </a:ext>
          </a:extLst>
        </xdr:cNvPr>
        <xdr:cNvSpPr txBox="1"/>
      </xdr:nvSpPr>
      <xdr:spPr>
        <a:xfrm>
          <a:off x="6521923" y="4869440"/>
          <a:ext cx="1466711"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FF5C55-870D-4524-8402-1A646CAAE8A5}"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9</xdr:col>
      <xdr:colOff>459985</xdr:colOff>
      <xdr:row>25</xdr:row>
      <xdr:rowOff>109106</xdr:rowOff>
    </xdr:from>
    <xdr:to>
      <xdr:col>10</xdr:col>
      <xdr:colOff>596510</xdr:colOff>
      <xdr:row>27</xdr:row>
      <xdr:rowOff>64294</xdr:rowOff>
    </xdr:to>
    <xdr:sp macro="" textlink="'💰 Finances'!L25">
      <xdr:nvSpPr>
        <xdr:cNvPr id="31" name="ZoneTexte 30">
          <a:extLst>
            <a:ext uri="{FF2B5EF4-FFF2-40B4-BE49-F238E27FC236}">
              <a16:creationId xmlns:a16="http://schemas.microsoft.com/office/drawing/2014/main" id="{84328927-3880-4707-BCDA-3812ACAF9735}"/>
            </a:ext>
            <a:ext uri="{147F2762-F138-4A5C-976F-8EAC2B608ADB}">
              <a16:predDERef xmlns:a16="http://schemas.microsoft.com/office/drawing/2014/main" pred="{A43A9171-6C6A-484E-8CF1-484CF9F3EF54}"/>
            </a:ext>
          </a:extLst>
        </xdr:cNvPr>
        <xdr:cNvSpPr txBox="1"/>
      </xdr:nvSpPr>
      <xdr:spPr>
        <a:xfrm>
          <a:off x="6806016"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53819B-C0A0-4D19-8834-A841B944C483}" type="TxLink">
            <a:rPr lang="en-US" sz="1600" b="0" i="0" u="none" strike="noStrike">
              <a:solidFill>
                <a:srgbClr val="ECF0F1"/>
              </a:solidFill>
              <a:latin typeface="Calibri"/>
              <a:ea typeface="Calibri"/>
              <a:cs typeface="Calibri"/>
            </a:rPr>
            <a:pPr marL="0" indent="0" algn="ctr"/>
            <a:t>00 €</a:t>
          </a:fld>
          <a:endParaRPr lang="fr-FR" sz="1600" b="1" i="0" u="none" strike="noStrike">
            <a:solidFill>
              <a:srgbClr val="ECF0F1"/>
            </a:solidFill>
            <a:latin typeface="Calibri"/>
            <a:ea typeface="Calibri"/>
            <a:cs typeface="Calibri"/>
          </a:endParaRPr>
        </a:p>
      </xdr:txBody>
    </xdr:sp>
    <xdr:clientData/>
  </xdr:twoCellAnchor>
  <xdr:twoCellAnchor>
    <xdr:from>
      <xdr:col>2</xdr:col>
      <xdr:colOff>641008</xdr:colOff>
      <xdr:row>8</xdr:row>
      <xdr:rowOff>79507</xdr:rowOff>
    </xdr:from>
    <xdr:to>
      <xdr:col>5</xdr:col>
      <xdr:colOff>119022</xdr:colOff>
      <xdr:row>10</xdr:row>
      <xdr:rowOff>34695</xdr:rowOff>
    </xdr:to>
    <xdr:sp macro="" textlink="'🏭 Production'!K6">
      <xdr:nvSpPr>
        <xdr:cNvPr id="27" name="ZoneTexte 26">
          <a:extLst>
            <a:ext uri="{FF2B5EF4-FFF2-40B4-BE49-F238E27FC236}">
              <a16:creationId xmlns:a16="http://schemas.microsoft.com/office/drawing/2014/main" id="{1AB916BF-3A11-4EE2-ACCA-2EA4DCD22512}"/>
            </a:ext>
            <a:ext uri="{147F2762-F138-4A5C-976F-8EAC2B608ADB}">
              <a16:predDERef xmlns:a16="http://schemas.microsoft.com/office/drawing/2014/main" pred="{A43A9171-6C6A-484E-8CF1-484CF9F3EF54}"/>
            </a:ext>
          </a:extLst>
        </xdr:cNvPr>
        <xdr:cNvSpPr txBox="1"/>
      </xdr:nvSpPr>
      <xdr:spPr>
        <a:xfrm>
          <a:off x="1653039" y="1734476"/>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FFE20E-6AC2-48F5-8C09-6B4A49683B35}" type="TxLink">
            <a:rPr lang="en-US" sz="1600" b="0" i="0" u="none" strike="noStrike">
              <a:solidFill>
                <a:srgbClr val="000000"/>
              </a:solidFill>
              <a:latin typeface="Calibri"/>
              <a:ea typeface="Calibri"/>
              <a:cs typeface="Calibri"/>
            </a:rPr>
            <a:pPr marL="0" indent="0" algn="ctr"/>
            <a:t>#VALEUR!</a:t>
          </a:fld>
          <a:endParaRPr lang="fr-FR" sz="1600" b="1" i="0" u="none" strike="noStrike">
            <a:solidFill>
              <a:schemeClr val="tx1"/>
            </a:solidFill>
            <a:latin typeface="Calibri"/>
            <a:ea typeface="Calibri"/>
            <a:cs typeface="Calibri"/>
          </a:endParaRPr>
        </a:p>
      </xdr:txBody>
    </xdr:sp>
    <xdr:clientData/>
  </xdr:twoCellAnchor>
  <xdr:twoCellAnchor>
    <xdr:from>
      <xdr:col>2</xdr:col>
      <xdr:colOff>677671</xdr:colOff>
      <xdr:row>12</xdr:row>
      <xdr:rowOff>68045</xdr:rowOff>
    </xdr:from>
    <xdr:to>
      <xdr:col>5</xdr:col>
      <xdr:colOff>153796</xdr:colOff>
      <xdr:row>14</xdr:row>
      <xdr:rowOff>23233</xdr:rowOff>
    </xdr:to>
    <xdr:sp macro="" textlink="'🎓 Pédagogie'!J11">
      <xdr:nvSpPr>
        <xdr:cNvPr id="5" name="ZoneTexte 4">
          <a:extLst>
            <a:ext uri="{FF2B5EF4-FFF2-40B4-BE49-F238E27FC236}">
              <a16:creationId xmlns:a16="http://schemas.microsoft.com/office/drawing/2014/main" id="{139C8798-AC75-4456-86C0-DAD74263097C}"/>
            </a:ext>
            <a:ext uri="{147F2762-F138-4A5C-976F-8EAC2B608ADB}">
              <a16:predDERef xmlns:a16="http://schemas.microsoft.com/office/drawing/2014/main" pred="{326844A4-3311-4AF1-AF7B-E419D09EF580}"/>
            </a:ext>
          </a:extLst>
        </xdr:cNvPr>
        <xdr:cNvSpPr txBox="1"/>
      </xdr:nvSpPr>
      <xdr:spPr>
        <a:xfrm>
          <a:off x="1689702" y="2532639"/>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FBD20E-E9F2-46AD-A895-389947502E8F}" type="TxLink">
            <a:rPr lang="en-US" sz="2400" b="1" i="0" u="none" strike="noStrike">
              <a:solidFill>
                <a:srgbClr val="1C2833"/>
              </a:solidFill>
              <a:latin typeface="Calibri"/>
              <a:ea typeface="Calibri"/>
              <a:cs typeface="Calibri"/>
            </a:rPr>
            <a:pPr marL="0" indent="0" algn="ctr"/>
            <a:t>0 €</a:t>
          </a:fld>
          <a:endParaRPr lang="fr-FR" sz="2400" b="1" i="0" u="none" strike="noStrike">
            <a:solidFill>
              <a:srgbClr val="1C2833"/>
            </a:solidFill>
            <a:latin typeface="Calibri"/>
            <a:ea typeface="Calibri"/>
            <a:cs typeface="Calibri"/>
          </a:endParaRPr>
        </a:p>
      </xdr:txBody>
    </xdr:sp>
    <xdr:clientData/>
  </xdr:twoCellAnchor>
  <xdr:twoCellAnchor>
    <xdr:from>
      <xdr:col>2</xdr:col>
      <xdr:colOff>641008</xdr:colOff>
      <xdr:row>14</xdr:row>
      <xdr:rowOff>56719</xdr:rowOff>
    </xdr:from>
    <xdr:to>
      <xdr:col>5</xdr:col>
      <xdr:colOff>119022</xdr:colOff>
      <xdr:row>16</xdr:row>
      <xdr:rowOff>11906</xdr:rowOff>
    </xdr:to>
    <xdr:sp macro="" textlink="'🎓 Pédagogie'!K11">
      <xdr:nvSpPr>
        <xdr:cNvPr id="28" name="ZoneTexte 27">
          <a:extLst>
            <a:ext uri="{FF2B5EF4-FFF2-40B4-BE49-F238E27FC236}">
              <a16:creationId xmlns:a16="http://schemas.microsoft.com/office/drawing/2014/main" id="{8C57BE18-0083-48AB-8368-38ECB27AA5A1}"/>
            </a:ext>
            <a:ext uri="{147F2762-F138-4A5C-976F-8EAC2B608ADB}">
              <a16:predDERef xmlns:a16="http://schemas.microsoft.com/office/drawing/2014/main" pred="{A43A9171-6C6A-484E-8CF1-484CF9F3EF54}"/>
            </a:ext>
          </a:extLst>
        </xdr:cNvPr>
        <xdr:cNvSpPr txBox="1"/>
      </xdr:nvSpPr>
      <xdr:spPr>
        <a:xfrm>
          <a:off x="1653039" y="2926125"/>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BC2013-1F81-4C2C-AEAA-4F8A90F2FE4B}" type="TxLink">
            <a:rPr lang="en-US" sz="1600" b="0" i="0" u="none" strike="noStrike">
              <a:solidFill>
                <a:srgbClr val="000000"/>
              </a:solidFill>
              <a:latin typeface="Calibri"/>
              <a:ea typeface="Calibri"/>
              <a:cs typeface="Calibri"/>
            </a:rPr>
            <a:pPr marL="0" indent="0" algn="ctr"/>
            <a:t>00 €</a:t>
          </a:fld>
          <a:endParaRPr lang="fr-FR" sz="1600" b="1" i="0" u="none" strike="noStrike">
            <a:solidFill>
              <a:schemeClr val="tx1"/>
            </a:solidFill>
            <a:latin typeface="Calibri"/>
            <a:ea typeface="Calibri"/>
            <a:cs typeface="Calibri"/>
          </a:endParaRPr>
        </a:p>
      </xdr:txBody>
    </xdr:sp>
    <xdr:clientData/>
  </xdr:twoCellAnchor>
  <xdr:twoCellAnchor>
    <xdr:from>
      <xdr:col>15</xdr:col>
      <xdr:colOff>697479</xdr:colOff>
      <xdr:row>12</xdr:row>
      <xdr:rowOff>127494</xdr:rowOff>
    </xdr:from>
    <xdr:to>
      <xdr:col>16</xdr:col>
      <xdr:colOff>655479</xdr:colOff>
      <xdr:row>14</xdr:row>
      <xdr:rowOff>82682</xdr:rowOff>
    </xdr:to>
    <xdr:sp macro="" textlink="'🏛️ Gouvernance'!H4">
      <xdr:nvSpPr>
        <xdr:cNvPr id="33" name="ZoneTexte 32">
          <a:extLst>
            <a:ext uri="{FF2B5EF4-FFF2-40B4-BE49-F238E27FC236}">
              <a16:creationId xmlns:a16="http://schemas.microsoft.com/office/drawing/2014/main" id="{42DF8567-C43D-4A6B-BF19-5148ABA9E540}"/>
            </a:ext>
            <a:ext uri="{147F2762-F138-4A5C-976F-8EAC2B608ADB}">
              <a16:predDERef xmlns:a16="http://schemas.microsoft.com/office/drawing/2014/main" pred="{C921222D-5D5F-4463-B0DC-8F6B6E2140EB}"/>
            </a:ext>
          </a:extLst>
        </xdr:cNvPr>
        <xdr:cNvSpPr txBox="1"/>
      </xdr:nvSpPr>
      <xdr:spPr>
        <a:xfrm>
          <a:off x="11615510" y="2592088"/>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9F39A7-F659-4C42-B0D3-64E7F99D5224}"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14</xdr:row>
      <xdr:rowOff>56719</xdr:rowOff>
    </xdr:from>
    <xdr:to>
      <xdr:col>16</xdr:col>
      <xdr:colOff>744742</xdr:colOff>
      <xdr:row>16</xdr:row>
      <xdr:rowOff>11906</xdr:rowOff>
    </xdr:to>
    <xdr:sp macro="" textlink="'🏛️ Gouvernance'!J4">
      <xdr:nvSpPr>
        <xdr:cNvPr id="34" name="ZoneTexte 33">
          <a:extLst>
            <a:ext uri="{FF2B5EF4-FFF2-40B4-BE49-F238E27FC236}">
              <a16:creationId xmlns:a16="http://schemas.microsoft.com/office/drawing/2014/main" id="{DAAE2ABD-D9C1-40DF-BAAC-2A1E2C13FE47}"/>
            </a:ext>
            <a:ext uri="{147F2762-F138-4A5C-976F-8EAC2B608ADB}">
              <a16:predDERef xmlns:a16="http://schemas.microsoft.com/office/drawing/2014/main" pred="{A43A9171-6C6A-484E-8CF1-484CF9F3EF54}"/>
            </a:ext>
          </a:extLst>
        </xdr:cNvPr>
        <xdr:cNvSpPr txBox="1"/>
      </xdr:nvSpPr>
      <xdr:spPr>
        <a:xfrm>
          <a:off x="11526248" y="2926125"/>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3F9BB1-8165-4DDE-902E-7867D84E6F27}"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3</xdr:col>
      <xdr:colOff>147182</xdr:colOff>
      <xdr:row>23</xdr:row>
      <xdr:rowOff>142659</xdr:rowOff>
    </xdr:from>
    <xdr:to>
      <xdr:col>4</xdr:col>
      <xdr:colOff>612848</xdr:colOff>
      <xdr:row>25</xdr:row>
      <xdr:rowOff>97846</xdr:rowOff>
    </xdr:to>
    <xdr:sp macro="" textlink="'🏭 Production'!J7">
      <xdr:nvSpPr>
        <xdr:cNvPr id="23" name="ZoneTexte 22">
          <a:extLst>
            <a:ext uri="{FF2B5EF4-FFF2-40B4-BE49-F238E27FC236}">
              <a16:creationId xmlns:a16="http://schemas.microsoft.com/office/drawing/2014/main" id="{3E222C35-30C8-4ABF-859B-8B395575709C}"/>
            </a:ext>
            <a:ext uri="{147F2762-F138-4A5C-976F-8EAC2B608ADB}">
              <a16:predDERef xmlns:a16="http://schemas.microsoft.com/office/drawing/2014/main" pred="{C921222D-5D5F-4463-B0DC-8F6B6E2140EB}"/>
            </a:ext>
          </a:extLst>
        </xdr:cNvPr>
        <xdr:cNvSpPr txBox="1"/>
      </xdr:nvSpPr>
      <xdr:spPr>
        <a:xfrm>
          <a:off x="1921213" y="4869440"/>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39AE-3591-4FEA-9EF9-5A8F58EEB82E}" type="TxLink">
            <a:rPr lang="en-US" sz="2400" b="1" i="0" u="none" strike="noStrike">
              <a:solidFill>
                <a:srgbClr val="1C2833"/>
              </a:solidFill>
              <a:latin typeface="Calibri"/>
              <a:ea typeface="Calibri"/>
              <a:cs typeface="Calibri"/>
            </a:rPr>
            <a:pPr marL="0" indent="0" algn="ctr"/>
            <a:t>0</a:t>
          </a:fld>
          <a:endParaRPr lang="fr-FR" sz="2400" b="1" i="0" u="none" strike="noStrike">
            <a:solidFill>
              <a:srgbClr val="1C2833"/>
            </a:solidFill>
            <a:latin typeface="Calibri"/>
            <a:ea typeface="Calibri"/>
            <a:cs typeface="Calibri"/>
          </a:endParaRPr>
        </a:p>
      </xdr:txBody>
    </xdr:sp>
    <xdr:clientData/>
  </xdr:twoCellAnchor>
  <xdr:twoCellAnchor>
    <xdr:from>
      <xdr:col>3</xdr:col>
      <xdr:colOff>311753</xdr:colOff>
      <xdr:row>25</xdr:row>
      <xdr:rowOff>109106</xdr:rowOff>
    </xdr:from>
    <xdr:to>
      <xdr:col>4</xdr:col>
      <xdr:colOff>448278</xdr:colOff>
      <xdr:row>27</xdr:row>
      <xdr:rowOff>64294</xdr:rowOff>
    </xdr:to>
    <xdr:sp macro="" textlink="'🏭 Production'!K7">
      <xdr:nvSpPr>
        <xdr:cNvPr id="29" name="ZoneTexte 28">
          <a:extLst>
            <a:ext uri="{FF2B5EF4-FFF2-40B4-BE49-F238E27FC236}">
              <a16:creationId xmlns:a16="http://schemas.microsoft.com/office/drawing/2014/main" id="{3EEDCAC6-6A6B-42FC-8B26-63D63905E970}"/>
            </a:ext>
            <a:ext uri="{147F2762-F138-4A5C-976F-8EAC2B608ADB}">
              <a16:predDERef xmlns:a16="http://schemas.microsoft.com/office/drawing/2014/main" pred="{A43A9171-6C6A-484E-8CF1-484CF9F3EF54}"/>
            </a:ext>
          </a:extLst>
        </xdr:cNvPr>
        <xdr:cNvSpPr txBox="1"/>
      </xdr:nvSpPr>
      <xdr:spPr>
        <a:xfrm>
          <a:off x="2085784"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EFB9AA-CEC4-453A-8AC8-79BBF9031F4D}" type="TxLink">
            <a:rPr lang="en-US" sz="1600" b="0" i="0" u="none" strike="noStrike">
              <a:solidFill>
                <a:srgbClr val="000000"/>
              </a:solidFill>
              <a:latin typeface="Calibri"/>
              <a:ea typeface="Calibri"/>
              <a:cs typeface="Calibri"/>
            </a:rPr>
            <a:pPr marL="0" indent="0" algn="ctr"/>
            <a:t>0</a:t>
          </a:fld>
          <a:endParaRPr lang="fr-FR" sz="1600" b="1" i="0" u="none" strike="noStrike">
            <a:solidFill>
              <a:schemeClr val="tx1"/>
            </a:solidFill>
            <a:latin typeface="Calibri"/>
            <a:ea typeface="Calibri"/>
            <a:cs typeface="Calibri"/>
          </a:endParaRPr>
        </a:p>
      </xdr:txBody>
    </xdr:sp>
    <xdr:clientData/>
  </xdr:twoCellAnchor>
  <xdr:twoCellAnchor>
    <xdr:from>
      <xdr:col>15</xdr:col>
      <xdr:colOff>753862</xdr:colOff>
      <xdr:row>6</xdr:row>
      <xdr:rowOff>114083</xdr:rowOff>
    </xdr:from>
    <xdr:to>
      <xdr:col>16</xdr:col>
      <xdr:colOff>599096</xdr:colOff>
      <xdr:row>8</xdr:row>
      <xdr:rowOff>69270</xdr:rowOff>
    </xdr:to>
    <xdr:sp macro="" textlink="'🏭 Production'!M10">
      <xdr:nvSpPr>
        <xdr:cNvPr id="42" name="ZoneTexte 41">
          <a:extLst>
            <a:ext uri="{FF2B5EF4-FFF2-40B4-BE49-F238E27FC236}">
              <a16:creationId xmlns:a16="http://schemas.microsoft.com/office/drawing/2014/main" id="{E4910ECB-B77A-44CA-A3DF-2257871AF7D7}"/>
            </a:ext>
            <a:ext uri="{147F2762-F138-4A5C-976F-8EAC2B608ADB}">
              <a16:predDERef xmlns:a16="http://schemas.microsoft.com/office/drawing/2014/main" pred="{C921222D-5D5F-4463-B0DC-8F6B6E2140EB}"/>
            </a:ext>
          </a:extLst>
        </xdr:cNvPr>
        <xdr:cNvSpPr txBox="1"/>
      </xdr:nvSpPr>
      <xdr:spPr>
        <a:xfrm>
          <a:off x="11671893" y="1364239"/>
          <a:ext cx="60723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ABD190-9FED-4866-8F78-D44761771D11}"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678580</xdr:colOff>
      <xdr:row>8</xdr:row>
      <xdr:rowOff>79507</xdr:rowOff>
    </xdr:from>
    <xdr:to>
      <xdr:col>16</xdr:col>
      <xdr:colOff>674378</xdr:colOff>
      <xdr:row>10</xdr:row>
      <xdr:rowOff>34695</xdr:rowOff>
    </xdr:to>
    <xdr:sp macro="" textlink="'🏭 Production'!M11">
      <xdr:nvSpPr>
        <xdr:cNvPr id="43" name="ZoneTexte 42">
          <a:extLst>
            <a:ext uri="{FF2B5EF4-FFF2-40B4-BE49-F238E27FC236}">
              <a16:creationId xmlns:a16="http://schemas.microsoft.com/office/drawing/2014/main" id="{3F5A3E92-645F-45DF-ACC3-8B5CB6DA76DE}"/>
            </a:ext>
            <a:ext uri="{147F2762-F138-4A5C-976F-8EAC2B608ADB}">
              <a16:predDERef xmlns:a16="http://schemas.microsoft.com/office/drawing/2014/main" pred="{A43A9171-6C6A-484E-8CF1-484CF9F3EF54}"/>
            </a:ext>
          </a:extLst>
        </xdr:cNvPr>
        <xdr:cNvSpPr txBox="1"/>
      </xdr:nvSpPr>
      <xdr:spPr>
        <a:xfrm>
          <a:off x="11596611" y="1734476"/>
          <a:ext cx="757798"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B54673-A73E-4AD1-8EE1-538B4FBD3ABB}"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3</xdr:col>
      <xdr:colOff>436733</xdr:colOff>
      <xdr:row>18</xdr:row>
      <xdr:rowOff>22008</xdr:rowOff>
    </xdr:from>
    <xdr:to>
      <xdr:col>4</xdr:col>
      <xdr:colOff>394733</xdr:colOff>
      <xdr:row>19</xdr:row>
      <xdr:rowOff>143883</xdr:rowOff>
    </xdr:to>
    <xdr:sp macro="" textlink="'🎓 Pédagogie'!H3">
      <xdr:nvSpPr>
        <xdr:cNvPr id="25" name="ZoneTexte 24">
          <a:extLst>
            <a:ext uri="{FF2B5EF4-FFF2-40B4-BE49-F238E27FC236}">
              <a16:creationId xmlns:a16="http://schemas.microsoft.com/office/drawing/2014/main" id="{E005CE66-CCE6-4D7E-B213-F258F5ABAA6C}"/>
            </a:ext>
            <a:ext uri="{147F2762-F138-4A5C-976F-8EAC2B608ADB}">
              <a16:predDERef xmlns:a16="http://schemas.microsoft.com/office/drawing/2014/main" pred="{C921222D-5D5F-4463-B0DC-8F6B6E2140EB}"/>
            </a:ext>
          </a:extLst>
        </xdr:cNvPr>
        <xdr:cNvSpPr txBox="1"/>
      </xdr:nvSpPr>
      <xdr:spPr>
        <a:xfrm>
          <a:off x="2210764" y="3701039"/>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FE2308B-8A57-444A-B7D2-D374C2E9B901}" type="TxLink">
            <a:rPr lang="en-US" sz="2400" b="1" i="0" u="none" strike="noStrike">
              <a:solidFill>
                <a:srgbClr val="1C2833"/>
              </a:solidFill>
              <a:latin typeface="Calibri"/>
              <a:ea typeface="Calibri"/>
              <a:cs typeface="Calibri"/>
            </a:rPr>
            <a:pPr marL="0" indent="0" algn="ctr"/>
            <a:t>0</a:t>
          </a:fld>
          <a:endParaRPr lang="fr-FR" sz="2400" b="1" i="0" u="none" strike="noStrike">
            <a:solidFill>
              <a:srgbClr val="1C2833"/>
            </a:solidFill>
            <a:latin typeface="Calibri"/>
            <a:ea typeface="Calibri"/>
            <a:cs typeface="Calibri"/>
          </a:endParaRPr>
        </a:p>
      </xdr:txBody>
    </xdr:sp>
    <xdr:clientData/>
  </xdr:twoCellAnchor>
  <xdr:twoCellAnchor>
    <xdr:from>
      <xdr:col>3</xdr:col>
      <xdr:colOff>311753</xdr:colOff>
      <xdr:row>19</xdr:row>
      <xdr:rowOff>155143</xdr:rowOff>
    </xdr:from>
    <xdr:to>
      <xdr:col>4</xdr:col>
      <xdr:colOff>448278</xdr:colOff>
      <xdr:row>21</xdr:row>
      <xdr:rowOff>110330</xdr:rowOff>
    </xdr:to>
    <xdr:sp macro="" textlink="'🎓 Pédagogie'!J3">
      <xdr:nvSpPr>
        <xdr:cNvPr id="30" name="ZoneTexte 29">
          <a:extLst>
            <a:ext uri="{FF2B5EF4-FFF2-40B4-BE49-F238E27FC236}">
              <a16:creationId xmlns:a16="http://schemas.microsoft.com/office/drawing/2014/main" id="{FC8F4AAC-7E72-47E4-AAE1-D15E706E6991}"/>
            </a:ext>
            <a:ext uri="{147F2762-F138-4A5C-976F-8EAC2B608ADB}">
              <a16:predDERef xmlns:a16="http://schemas.microsoft.com/office/drawing/2014/main" pred="{A43A9171-6C6A-484E-8CF1-484CF9F3EF54}"/>
            </a:ext>
          </a:extLst>
        </xdr:cNvPr>
        <xdr:cNvSpPr txBox="1"/>
      </xdr:nvSpPr>
      <xdr:spPr>
        <a:xfrm>
          <a:off x="2085784"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D4CE45-7DDF-456E-B8D5-8A1E8396C477}" type="TxLink">
            <a:rPr lang="en-US" sz="1600" b="0" i="0" u="none" strike="noStrike">
              <a:solidFill>
                <a:srgbClr val="000000"/>
              </a:solidFill>
              <a:latin typeface="Calibri"/>
              <a:ea typeface="Calibri"/>
              <a:cs typeface="Calibri"/>
            </a:rPr>
            <a:pPr marL="0" indent="0" algn="ctr"/>
            <a:t>0</a:t>
          </a:fld>
          <a:endParaRPr lang="fr-FR" sz="1600" b="1" i="0" u="none" strike="noStrike">
            <a:solidFill>
              <a:schemeClr val="tx1"/>
            </a:solidFill>
            <a:latin typeface="Calibri"/>
            <a:ea typeface="Calibri"/>
            <a:cs typeface="Calibri"/>
          </a:endParaRPr>
        </a:p>
      </xdr:txBody>
    </xdr:sp>
    <xdr:clientData/>
  </xdr:twoCellAnchor>
  <xdr:twoCellAnchor>
    <xdr:from>
      <xdr:col>15</xdr:col>
      <xdr:colOff>697479</xdr:colOff>
      <xdr:row>18</xdr:row>
      <xdr:rowOff>22008</xdr:rowOff>
    </xdr:from>
    <xdr:to>
      <xdr:col>16</xdr:col>
      <xdr:colOff>655479</xdr:colOff>
      <xdr:row>19</xdr:row>
      <xdr:rowOff>143883</xdr:rowOff>
    </xdr:to>
    <xdr:sp macro="" textlink="'🏛️ Gouvernance'!H5">
      <xdr:nvSpPr>
        <xdr:cNvPr id="36" name="ZoneTexte 35">
          <a:extLst>
            <a:ext uri="{FF2B5EF4-FFF2-40B4-BE49-F238E27FC236}">
              <a16:creationId xmlns:a16="http://schemas.microsoft.com/office/drawing/2014/main" id="{FA7945E5-3177-4953-879F-C9155318E871}"/>
            </a:ext>
            <a:ext uri="{147F2762-F138-4A5C-976F-8EAC2B608ADB}">
              <a16:predDERef xmlns:a16="http://schemas.microsoft.com/office/drawing/2014/main" pred="{C921222D-5D5F-4463-B0DC-8F6B6E2140EB}"/>
            </a:ext>
          </a:extLst>
        </xdr:cNvPr>
        <xdr:cNvSpPr txBox="1"/>
      </xdr:nvSpPr>
      <xdr:spPr>
        <a:xfrm>
          <a:off x="11615510" y="3701039"/>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E47F36-A0B5-44D4-ACD7-A5F5F5719C10}" type="TxLink">
            <a:rPr lang="en-US" sz="2400" b="1" i="0" u="none" strike="noStrike">
              <a:solidFill>
                <a:srgbClr val="154360"/>
              </a:solidFill>
              <a:latin typeface="Calibri"/>
              <a:ea typeface="Calibri"/>
              <a:cs typeface="Calibri"/>
            </a:rPr>
            <a:pPr marL="0" indent="0" algn="ctr"/>
            <a:t>0</a:t>
          </a:fld>
          <a:endParaRPr lang="en-US" sz="2400" b="1" i="0" u="none" strike="noStrike">
            <a:solidFill>
              <a:srgbClr val="154360"/>
            </a:solidFill>
            <a:latin typeface="Calibri"/>
            <a:ea typeface="Calibri"/>
            <a:cs typeface="Calibri"/>
          </a:endParaRPr>
        </a:p>
      </xdr:txBody>
    </xdr:sp>
    <xdr:clientData/>
  </xdr:twoCellAnchor>
  <xdr:twoCellAnchor>
    <xdr:from>
      <xdr:col>15</xdr:col>
      <xdr:colOff>608217</xdr:colOff>
      <xdr:row>19</xdr:row>
      <xdr:rowOff>155143</xdr:rowOff>
    </xdr:from>
    <xdr:to>
      <xdr:col>16</xdr:col>
      <xdr:colOff>744742</xdr:colOff>
      <xdr:row>21</xdr:row>
      <xdr:rowOff>110330</xdr:rowOff>
    </xdr:to>
    <xdr:sp macro="" textlink="'🏛️ Gouvernance'!J5">
      <xdr:nvSpPr>
        <xdr:cNvPr id="37" name="ZoneTexte 36">
          <a:extLst>
            <a:ext uri="{FF2B5EF4-FFF2-40B4-BE49-F238E27FC236}">
              <a16:creationId xmlns:a16="http://schemas.microsoft.com/office/drawing/2014/main" id="{E05EA242-EFF9-4AB8-9132-571E22BDBE9D}"/>
            </a:ext>
            <a:ext uri="{147F2762-F138-4A5C-976F-8EAC2B608ADB}">
              <a16:predDERef xmlns:a16="http://schemas.microsoft.com/office/drawing/2014/main" pred="{A43A9171-6C6A-484E-8CF1-484CF9F3EF54}"/>
            </a:ext>
          </a:extLst>
        </xdr:cNvPr>
        <xdr:cNvSpPr txBox="1"/>
      </xdr:nvSpPr>
      <xdr:spPr>
        <a:xfrm>
          <a:off x="11526248"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B6484A-C738-4031-9BF9-722F8B4D7DD8}"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15</xdr:col>
      <xdr:colOff>697479</xdr:colOff>
      <xdr:row>23</xdr:row>
      <xdr:rowOff>142659</xdr:rowOff>
    </xdr:from>
    <xdr:to>
      <xdr:col>16</xdr:col>
      <xdr:colOff>655479</xdr:colOff>
      <xdr:row>25</xdr:row>
      <xdr:rowOff>97846</xdr:rowOff>
    </xdr:to>
    <xdr:sp macro="" textlink="'🏛️ Gouvernance'!J9">
      <xdr:nvSpPr>
        <xdr:cNvPr id="39" name="ZoneTexte 38">
          <a:extLst>
            <a:ext uri="{FF2B5EF4-FFF2-40B4-BE49-F238E27FC236}">
              <a16:creationId xmlns:a16="http://schemas.microsoft.com/office/drawing/2014/main" id="{7E98F97A-BC3D-4CF6-91B3-E6AD99AADE5B}"/>
            </a:ext>
            <a:ext uri="{147F2762-F138-4A5C-976F-8EAC2B608ADB}">
              <a16:predDERef xmlns:a16="http://schemas.microsoft.com/office/drawing/2014/main" pred="{C921222D-5D5F-4463-B0DC-8F6B6E2140EB}"/>
            </a:ext>
          </a:extLst>
        </xdr:cNvPr>
        <xdr:cNvSpPr txBox="1"/>
      </xdr:nvSpPr>
      <xdr:spPr>
        <a:xfrm>
          <a:off x="11615510" y="4869440"/>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9785FC-42CC-4CF7-A883-371A4CBB1C4C}"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25</xdr:row>
      <xdr:rowOff>109106</xdr:rowOff>
    </xdr:from>
    <xdr:to>
      <xdr:col>16</xdr:col>
      <xdr:colOff>744742</xdr:colOff>
      <xdr:row>27</xdr:row>
      <xdr:rowOff>64294</xdr:rowOff>
    </xdr:to>
    <xdr:sp macro="" textlink="'🏛️ Gouvernance'!J10">
      <xdr:nvSpPr>
        <xdr:cNvPr id="40" name="ZoneTexte 39">
          <a:extLst>
            <a:ext uri="{FF2B5EF4-FFF2-40B4-BE49-F238E27FC236}">
              <a16:creationId xmlns:a16="http://schemas.microsoft.com/office/drawing/2014/main" id="{1F889031-37E2-4CD7-97F2-883D6D8784A1}"/>
            </a:ext>
            <a:ext uri="{147F2762-F138-4A5C-976F-8EAC2B608ADB}">
              <a16:predDERef xmlns:a16="http://schemas.microsoft.com/office/drawing/2014/main" pred="{A43A9171-6C6A-484E-8CF1-484CF9F3EF54}"/>
            </a:ext>
          </a:extLst>
        </xdr:cNvPr>
        <xdr:cNvSpPr txBox="1"/>
      </xdr:nvSpPr>
      <xdr:spPr>
        <a:xfrm>
          <a:off x="11526248"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649B26-3D1D-4EAC-AAE0-35BA83402532}"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1</xdr:col>
      <xdr:colOff>175431</xdr:colOff>
      <xdr:row>0</xdr:row>
      <xdr:rowOff>190499</xdr:rowOff>
    </xdr:from>
    <xdr:to>
      <xdr:col>19</xdr:col>
      <xdr:colOff>98172</xdr:colOff>
      <xdr:row>4</xdr:row>
      <xdr:rowOff>0</xdr:rowOff>
    </xdr:to>
    <xdr:sp macro="" textlink="">
      <xdr:nvSpPr>
        <xdr:cNvPr id="98" name="Rectangle : coins arrondis 97">
          <a:extLst>
            <a:ext uri="{FF2B5EF4-FFF2-40B4-BE49-F238E27FC236}">
              <a16:creationId xmlns:a16="http://schemas.microsoft.com/office/drawing/2014/main" id="{6685C84C-40DD-4CC2-AA68-26EB602F23DA}"/>
            </a:ext>
          </a:extLst>
        </xdr:cNvPr>
        <xdr:cNvSpPr/>
      </xdr:nvSpPr>
      <xdr:spPr>
        <a:xfrm>
          <a:off x="425462" y="190499"/>
          <a:ext cx="13638741" cy="654845"/>
        </a:xfrm>
        <a:prstGeom prst="roundRect">
          <a:avLst>
            <a:gd name="adj" fmla="val 50000"/>
          </a:avLst>
        </a:prstGeom>
        <a:gradFill>
          <a:gsLst>
            <a:gs pos="0">
              <a:srgbClr val="F1C40F"/>
            </a:gs>
            <a:gs pos="100000">
              <a:srgbClr val="F1C40F"/>
            </a:gs>
          </a:gsLst>
          <a:lin ang="0" scaled="0"/>
        </a:gradFill>
        <a:ln w="19050">
          <a:solidFill>
            <a:srgbClr val="2E4057"/>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4057"/>
              </a:solidFill>
              <a:latin typeface="Calibri" panose="020F0502020204030204" pitchFamily="34" charset="0"/>
              <a:ea typeface="Calibri" panose="020F0502020204030204" pitchFamily="34" charset="0"/>
              <a:cs typeface="Calibri" panose="020F0502020204030204" pitchFamily="34" charset="0"/>
            </a:rPr>
            <a:t>Projections : École de production Alpha - Exercice 31/08/2025</a:t>
          </a:r>
        </a:p>
      </xdr:txBody>
    </xdr:sp>
    <xdr:clientData/>
  </xdr:twoCellAnchor>
</xdr:wsDr>
</file>

<file path=xl/persons/person.xml><?xml version="1.0" encoding="utf-8"?>
<personList xmlns="http://schemas.microsoft.com/office/spreadsheetml/2018/threadedcomments" xmlns:x="http://schemas.openxmlformats.org/spreadsheetml/2006/main">
  <person displayName="Laura GOMBAUD" id="{1C561A16-7D09-4AC9-8F1F-3245036AED7E}" userId="S::lgombaud@cocerto.fr::95dfd7b3-193d-40a4-ae58-03a5f77a8c61" providerId="AD"/>
</personList>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
  <rv s="0">
    <v>0</v>
    <v>5</v>
  </rv>
  <rv s="0">
    <v>1</v>
    <v>5</v>
  </rv>
  <rv s="0">
    <v>2</v>
    <v>5</v>
  </rv>
  <rv s="0">
    <v>3</v>
    <v>5</v>
  </rv>
  <rv s="0">
    <v>4</v>
    <v>5</v>
  </rv>
  <rv s="0">
    <v>5</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32" dT="2025-08-18T04:29:30.62" personId="{1C561A16-7D09-4AC9-8F1F-3245036AED7E}" id="{41411D3B-C869-472B-9DB8-BE729503CA34}">
    <text>9 du coup ?</text>
  </threadedComment>
  <threadedComment ref="A77" dT="2025-08-18T04:31:23.98" personId="{1C561A16-7D09-4AC9-8F1F-3245036AED7E}" id="{B3E0DD05-2DD2-4F6F-915C-535D624DBB58}">
    <text>Valider le texte</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518-BD6C-4FC5-B1B4-D2300B88809B}">
  <sheetPr codeName="Feuil1">
    <tabColor rgb="FFC9D7F2"/>
    <pageSetUpPr fitToPage="1"/>
  </sheetPr>
  <dimension ref="A1:F95"/>
  <sheetViews>
    <sheetView showGridLines="0" workbookViewId="0"/>
  </sheetViews>
  <sheetFormatPr baseColWidth="10" defaultColWidth="11.42578125" defaultRowHeight="20.25" customHeight="1" x14ac:dyDescent="0.25"/>
  <cols>
    <col min="1" max="1" width="126.7109375" style="1" customWidth="1"/>
    <col min="2" max="2" width="14" style="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thickBot="1" x14ac:dyDescent="0.3">
      <c r="A1" s="85" t="s">
        <v>0</v>
      </c>
      <c r="B1" s="1"/>
      <c r="C1" s="1"/>
      <c r="D1" s="1"/>
      <c r="E1" s="1"/>
      <c r="F1" s="1"/>
    </row>
    <row r="3" spans="1:6" ht="36.950000000000003" customHeight="1" x14ac:dyDescent="0.25">
      <c r="A3" s="4" t="s">
        <v>1</v>
      </c>
    </row>
    <row r="4" spans="1:6" ht="15.75" x14ac:dyDescent="0.25"/>
    <row r="5" spans="1:6" ht="15.75" x14ac:dyDescent="0.25">
      <c r="A5" s="65" t="s">
        <v>2</v>
      </c>
    </row>
    <row r="6" spans="1:6" ht="15.75" x14ac:dyDescent="0.25"/>
    <row r="7" spans="1:6" ht="15.75" x14ac:dyDescent="0.25">
      <c r="A7" s="61" t="s">
        <v>3</v>
      </c>
    </row>
    <row r="8" spans="1:6" ht="15.75" x14ac:dyDescent="0.25">
      <c r="A8" s="62"/>
    </row>
    <row r="9" spans="1:6" ht="15.75" x14ac:dyDescent="0.25">
      <c r="A9" s="63" t="s">
        <v>4</v>
      </c>
    </row>
    <row r="10" spans="1:6" ht="15.75" x14ac:dyDescent="0.25">
      <c r="A10" s="62"/>
    </row>
    <row r="11" spans="1:6" ht="31.5" x14ac:dyDescent="0.25">
      <c r="A11" s="66" t="s">
        <v>5</v>
      </c>
    </row>
    <row r="12" spans="1:6" ht="15.75" x14ac:dyDescent="0.25">
      <c r="A12" s="64"/>
    </row>
    <row r="13" spans="1:6" ht="36.950000000000003" customHeight="1" x14ac:dyDescent="0.25">
      <c r="A13" s="4" t="s">
        <v>6</v>
      </c>
    </row>
    <row r="14" spans="1:6" ht="31.5" x14ac:dyDescent="0.25">
      <c r="A14" s="75" t="s">
        <v>7</v>
      </c>
    </row>
    <row r="15" spans="1:6" ht="15.75" x14ac:dyDescent="0.25">
      <c r="A15" s="67"/>
    </row>
    <row r="16" spans="1:6" ht="15.75" x14ac:dyDescent="0.25">
      <c r="A16" s="67" t="s">
        <v>8</v>
      </c>
    </row>
    <row r="17" spans="1:1" ht="15.75" x14ac:dyDescent="0.25">
      <c r="A17" s="67"/>
    </row>
    <row r="18" spans="1:1" ht="15.75" x14ac:dyDescent="0.25">
      <c r="A18" s="70" t="s">
        <v>9</v>
      </c>
    </row>
    <row r="19" spans="1:1" ht="15.75" x14ac:dyDescent="0.25">
      <c r="A19" s="69"/>
    </row>
    <row r="20" spans="1:1" ht="31.5" x14ac:dyDescent="0.25">
      <c r="A20" s="70" t="s">
        <v>10</v>
      </c>
    </row>
    <row r="21" spans="1:1" ht="15.75" x14ac:dyDescent="0.25">
      <c r="A21" s="69"/>
    </row>
    <row r="22" spans="1:1" ht="15.75" x14ac:dyDescent="0.25">
      <c r="A22" s="70" t="s">
        <v>11</v>
      </c>
    </row>
    <row r="23" spans="1:1" ht="15.75" x14ac:dyDescent="0.25">
      <c r="A23" s="69"/>
    </row>
    <row r="24" spans="1:1" ht="15.75" x14ac:dyDescent="0.25">
      <c r="A24" s="70" t="s">
        <v>12</v>
      </c>
    </row>
    <row r="25" spans="1:1" ht="15.75" x14ac:dyDescent="0.25">
      <c r="A25" s="70"/>
    </row>
    <row r="26" spans="1:1" ht="15.75" x14ac:dyDescent="0.25">
      <c r="A26" s="70" t="s">
        <v>13</v>
      </c>
    </row>
    <row r="27" spans="1:1" ht="15.75" x14ac:dyDescent="0.25">
      <c r="A27" s="67"/>
    </row>
    <row r="28" spans="1:1" ht="31.5" x14ac:dyDescent="0.25">
      <c r="A28" s="75" t="s">
        <v>14</v>
      </c>
    </row>
    <row r="29" spans="1:1" ht="15.75" x14ac:dyDescent="0.25">
      <c r="A29" s="67"/>
    </row>
    <row r="30" spans="1:1" ht="36.950000000000003" customHeight="1" x14ac:dyDescent="0.25">
      <c r="A30" s="4" t="s">
        <v>15</v>
      </c>
    </row>
    <row r="31" spans="1:1" ht="15.75" x14ac:dyDescent="0.25">
      <c r="A31" s="64"/>
    </row>
    <row r="32" spans="1:1" ht="15.75" x14ac:dyDescent="0.25">
      <c r="A32" s="75" t="s">
        <v>16</v>
      </c>
    </row>
    <row r="33" spans="1:1" ht="15.75" x14ac:dyDescent="0.25">
      <c r="A33" s="67"/>
    </row>
    <row r="34" spans="1:1" ht="24" customHeight="1" x14ac:dyDescent="0.25">
      <c r="A34" s="81" t="e" vm="1">
        <v>#VALUE!</v>
      </c>
    </row>
    <row r="35" spans="1:1" ht="15.75" x14ac:dyDescent="0.25">
      <c r="A35" s="80" t="s">
        <v>17</v>
      </c>
    </row>
    <row r="36" spans="1:1" ht="15.75" x14ac:dyDescent="0.25">
      <c r="A36" s="81"/>
    </row>
    <row r="37" spans="1:1" ht="15.75" x14ac:dyDescent="0.25">
      <c r="A37" s="74" t="s">
        <v>18</v>
      </c>
    </row>
    <row r="38" spans="1:1" ht="15.75" x14ac:dyDescent="0.25">
      <c r="A38" s="70"/>
    </row>
    <row r="39" spans="1:1" ht="15.75" x14ac:dyDescent="0.25">
      <c r="A39" s="84" t="s">
        <v>19</v>
      </c>
    </row>
    <row r="40" spans="1:1" ht="15.75" x14ac:dyDescent="0.25">
      <c r="A40" s="84"/>
    </row>
    <row r="41" spans="1:1" ht="15.75" x14ac:dyDescent="0.25">
      <c r="A41" s="84" t="s">
        <v>20</v>
      </c>
    </row>
    <row r="42" spans="1:1" ht="15.75" x14ac:dyDescent="0.25">
      <c r="A42" s="81"/>
    </row>
    <row r="43" spans="1:1" ht="31.5" x14ac:dyDescent="0.25">
      <c r="A43" s="77" t="s">
        <v>218</v>
      </c>
    </row>
    <row r="44" spans="1:1" ht="15.75" x14ac:dyDescent="0.25">
      <c r="A44" s="77"/>
    </row>
    <row r="45" spans="1:1" ht="15.75" x14ac:dyDescent="0.25">
      <c r="A45" s="74" t="s">
        <v>21</v>
      </c>
    </row>
    <row r="46" spans="1:1" ht="15.75" x14ac:dyDescent="0.25">
      <c r="A46" s="70"/>
    </row>
    <row r="47" spans="1:1" ht="15.75" x14ac:dyDescent="0.25">
      <c r="A47" s="84" t="s">
        <v>22</v>
      </c>
    </row>
    <row r="48" spans="1:1" ht="15.75" x14ac:dyDescent="0.25">
      <c r="A48" s="84"/>
    </row>
    <row r="49" spans="1:1" ht="15.75" x14ac:dyDescent="0.25">
      <c r="A49" s="84" t="s">
        <v>23</v>
      </c>
    </row>
    <row r="50" spans="1:1" ht="15.75" x14ac:dyDescent="0.25">
      <c r="A50" s="78"/>
    </row>
    <row r="51" spans="1:1" ht="15.75" x14ac:dyDescent="0.25">
      <c r="A51" s="71" t="s">
        <v>24</v>
      </c>
    </row>
    <row r="52" spans="1:1" ht="15.75" x14ac:dyDescent="0.25">
      <c r="A52" s="71"/>
    </row>
    <row r="53" spans="1:1" ht="15.75" x14ac:dyDescent="0.25">
      <c r="A53" s="71" t="s">
        <v>25</v>
      </c>
    </row>
    <row r="54" spans="1:1" ht="15.75" x14ac:dyDescent="0.25">
      <c r="A54" s="67"/>
    </row>
    <row r="55" spans="1:1" ht="24" customHeight="1" x14ac:dyDescent="0.25">
      <c r="A55" s="77" t="e" vm="2">
        <v>#VALUE!</v>
      </c>
    </row>
    <row r="56" spans="1:1" ht="15.75" x14ac:dyDescent="0.25">
      <c r="A56" s="78"/>
    </row>
    <row r="57" spans="1:1" ht="31.5" x14ac:dyDescent="0.25">
      <c r="A57" s="75" t="s">
        <v>219</v>
      </c>
    </row>
    <row r="58" spans="1:1" ht="15.75" x14ac:dyDescent="0.25">
      <c r="A58" s="75"/>
    </row>
    <row r="59" spans="1:1" ht="15.75" x14ac:dyDescent="0.25">
      <c r="A59" s="79" t="s">
        <v>26</v>
      </c>
    </row>
    <row r="60" spans="1:1" ht="15.75" x14ac:dyDescent="0.25">
      <c r="A60" s="75"/>
    </row>
    <row r="61" spans="1:1" ht="15.75" x14ac:dyDescent="0.25">
      <c r="A61" s="75" t="s">
        <v>220</v>
      </c>
    </row>
    <row r="62" spans="1:1" ht="15.75" x14ac:dyDescent="0.25">
      <c r="A62" s="75"/>
    </row>
    <row r="63" spans="1:1" ht="24" customHeight="1" x14ac:dyDescent="0.25">
      <c r="A63" s="78" t="e" vm="3">
        <v>#VALUE!</v>
      </c>
    </row>
    <row r="64" spans="1:1" ht="15.75" x14ac:dyDescent="0.25">
      <c r="A64" s="75"/>
    </row>
    <row r="65" spans="1:1" ht="15.75" x14ac:dyDescent="0.25">
      <c r="A65" s="75" t="s">
        <v>27</v>
      </c>
    </row>
    <row r="66" spans="1:1" ht="15.75" x14ac:dyDescent="0.25">
      <c r="A66" s="75"/>
    </row>
    <row r="67" spans="1:1" ht="23.1" customHeight="1" x14ac:dyDescent="0.25">
      <c r="A67" s="78" t="e" vm="4">
        <v>#VALUE!</v>
      </c>
    </row>
    <row r="68" spans="1:1" ht="15.75" x14ac:dyDescent="0.25">
      <c r="A68" s="75"/>
    </row>
    <row r="69" spans="1:1" ht="15.75" x14ac:dyDescent="0.25">
      <c r="A69" s="75" t="s">
        <v>28</v>
      </c>
    </row>
    <row r="70" spans="1:1" ht="15.75" x14ac:dyDescent="0.25">
      <c r="A70" s="75"/>
    </row>
    <row r="71" spans="1:1" ht="24" customHeight="1" x14ac:dyDescent="0.25">
      <c r="A71" s="79" t="e" vm="5">
        <v>#VALUE!</v>
      </c>
    </row>
    <row r="72" spans="1:1" ht="15.75" x14ac:dyDescent="0.25">
      <c r="A72" s="75"/>
    </row>
    <row r="73" spans="1:1" s="83" customFormat="1" ht="15.75" x14ac:dyDescent="0.25">
      <c r="A73" s="82" t="s">
        <v>29</v>
      </c>
    </row>
    <row r="74" spans="1:1" ht="15.75" x14ac:dyDescent="0.25">
      <c r="A74" s="75"/>
    </row>
    <row r="75" spans="1:1" ht="20.25" customHeight="1" x14ac:dyDescent="0.25">
      <c r="A75" s="76" t="e" vm="6">
        <v>#VALUE!</v>
      </c>
    </row>
    <row r="76" spans="1:1" ht="20.25" customHeight="1" x14ac:dyDescent="0.25">
      <c r="A76" s="68"/>
    </row>
    <row r="77" spans="1:1" ht="40.5" customHeight="1" x14ac:dyDescent="0.25">
      <c r="A77" s="75" t="s">
        <v>276</v>
      </c>
    </row>
    <row r="78" spans="1:1" ht="20.25" customHeight="1" x14ac:dyDescent="0.25">
      <c r="A78" s="68"/>
    </row>
    <row r="79" spans="1:1" ht="20.25" customHeight="1" x14ac:dyDescent="0.25">
      <c r="A79" s="68"/>
    </row>
    <row r="80" spans="1:1" ht="20.25" customHeight="1" x14ac:dyDescent="0.25">
      <c r="A80" s="68"/>
    </row>
    <row r="81" spans="1:1" ht="20.25" customHeight="1" x14ac:dyDescent="0.25">
      <c r="A81" s="68"/>
    </row>
    <row r="82" spans="1:1" ht="20.25" customHeight="1" x14ac:dyDescent="0.25">
      <c r="A82" s="68"/>
    </row>
    <row r="83" spans="1:1" ht="20.25" customHeight="1" x14ac:dyDescent="0.25">
      <c r="A83" s="68"/>
    </row>
    <row r="84" spans="1:1" ht="20.25" customHeight="1" x14ac:dyDescent="0.25">
      <c r="A84" s="68"/>
    </row>
    <row r="85" spans="1:1" ht="20.25" customHeight="1" x14ac:dyDescent="0.25">
      <c r="A85" s="68"/>
    </row>
    <row r="86" spans="1:1" ht="20.25" customHeight="1" x14ac:dyDescent="0.25">
      <c r="A86" s="68"/>
    </row>
    <row r="87" spans="1:1" ht="20.25" customHeight="1" x14ac:dyDescent="0.25">
      <c r="A87" s="68"/>
    </row>
    <row r="88" spans="1:1" ht="20.25" customHeight="1" x14ac:dyDescent="0.25">
      <c r="A88" s="68"/>
    </row>
    <row r="89" spans="1:1" ht="20.25" customHeight="1" x14ac:dyDescent="0.25">
      <c r="A89" s="68"/>
    </row>
    <row r="90" spans="1:1" ht="20.25" customHeight="1" x14ac:dyDescent="0.25">
      <c r="A90" s="68"/>
    </row>
    <row r="91" spans="1:1" ht="20.25" customHeight="1" x14ac:dyDescent="0.25">
      <c r="A91" s="68"/>
    </row>
    <row r="92" spans="1:1" ht="20.25" customHeight="1" x14ac:dyDescent="0.25">
      <c r="A92" s="68"/>
    </row>
    <row r="93" spans="1:1" ht="20.25" customHeight="1" x14ac:dyDescent="0.25">
      <c r="A93" s="68"/>
    </row>
    <row r="94" spans="1:1" ht="20.25" customHeight="1" x14ac:dyDescent="0.25">
      <c r="A94" s="68"/>
    </row>
    <row r="95" spans="1:1" ht="20.25" customHeight="1" x14ac:dyDescent="0.25">
      <c r="A95" s="68"/>
    </row>
  </sheetData>
  <sheetProtection sheet="1" selectLockedCells="1" selectUnlockedCells="1"/>
  <conditionalFormatting sqref="A9">
    <cfRule type="expression" dxfId="81" priority="1">
      <formula>ISNA(#REF!)</formula>
    </cfRule>
    <cfRule type="expression" priority="2">
      <formula>#REF!</formula>
    </cfRule>
  </conditionalFormatting>
  <printOptions verticalCentered="1"/>
  <pageMargins left="0.7" right="0.7"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9C159-674A-4EE4-98D7-7C6A8C997D3E}">
  <sheetPr codeName="Feuil2">
    <tabColor rgb="FFFCE5CD"/>
    <pageSetUpPr fitToPage="1"/>
  </sheetPr>
  <dimension ref="A1:J145"/>
  <sheetViews>
    <sheetView showGridLines="0" workbookViewId="0">
      <pane ySplit="2" topLeftCell="A76" activePane="bottomLeft" state="frozen"/>
      <selection pane="bottomLeft" activeCell="G8" sqref="G8"/>
    </sheetView>
  </sheetViews>
  <sheetFormatPr baseColWidth="10" defaultColWidth="11.42578125" defaultRowHeight="15" x14ac:dyDescent="0.25"/>
  <cols>
    <col min="1" max="1" width="10.140625" style="3" bestFit="1" customWidth="1"/>
    <col min="2" max="2" width="63.85546875" style="3" bestFit="1" customWidth="1"/>
    <col min="3" max="3" width="20" style="3" bestFit="1" customWidth="1"/>
    <col min="4" max="7" width="11.7109375" style="3" customWidth="1"/>
    <col min="8" max="8" width="15.28515625" style="3" bestFit="1" customWidth="1"/>
    <col min="9" max="9" width="11.85546875" style="3" customWidth="1"/>
    <col min="10" max="10" width="11.28515625" style="3" bestFit="1" customWidth="1"/>
    <col min="11" max="16384" width="11.42578125" style="3"/>
  </cols>
  <sheetData>
    <row r="1" spans="1:10" ht="57" customHeight="1" thickBot="1" x14ac:dyDescent="0.3">
      <c r="A1" s="159" t="s">
        <v>267</v>
      </c>
      <c r="B1" s="159"/>
      <c r="C1" s="159"/>
      <c r="D1" s="159"/>
      <c r="E1" s="159"/>
      <c r="F1" s="159"/>
      <c r="G1" s="159"/>
      <c r="H1" s="159"/>
      <c r="I1" s="159"/>
      <c r="J1" s="159"/>
    </row>
    <row r="2" spans="1:10" ht="36.950000000000003" customHeight="1" x14ac:dyDescent="0.25">
      <c r="A2" s="4" t="s">
        <v>30</v>
      </c>
      <c r="B2" s="4" t="s">
        <v>31</v>
      </c>
      <c r="C2" s="4" t="s">
        <v>32</v>
      </c>
      <c r="D2" s="4" t="s">
        <v>33</v>
      </c>
      <c r="E2" s="4" t="s">
        <v>34</v>
      </c>
      <c r="F2" s="4" t="s">
        <v>35</v>
      </c>
      <c r="G2" s="4" t="s">
        <v>36</v>
      </c>
      <c r="H2" s="4" t="s">
        <v>37</v>
      </c>
      <c r="I2" s="4" t="s">
        <v>38</v>
      </c>
      <c r="J2" s="4" t="s">
        <v>39</v>
      </c>
    </row>
    <row r="3" spans="1:10" ht="16.5" customHeight="1" x14ac:dyDescent="0.25">
      <c r="A3" s="5">
        <v>60100</v>
      </c>
      <c r="B3" s="5" t="s">
        <v>40</v>
      </c>
      <c r="C3" s="8"/>
      <c r="D3" s="8"/>
      <c r="E3" s="8"/>
      <c r="F3" s="8"/>
      <c r="G3" s="8"/>
      <c r="H3" s="9">
        <f t="shared" ref="H3:H6" si="0">D3+E3+F3+G3</f>
        <v>0</v>
      </c>
      <c r="I3" s="9">
        <f t="shared" ref="I3:I7" si="1">H3-C3</f>
        <v>0</v>
      </c>
      <c r="J3" s="10" t="str">
        <f t="shared" ref="J3:J7" si="2">IF(I3=0,"",IF(C3=0,"",I3/C3))</f>
        <v/>
      </c>
    </row>
    <row r="4" spans="1:10" ht="16.5" customHeight="1" x14ac:dyDescent="0.25">
      <c r="A4" s="5">
        <v>60310</v>
      </c>
      <c r="B4" s="5" t="s">
        <v>41</v>
      </c>
      <c r="C4" s="8"/>
      <c r="D4" s="8"/>
      <c r="E4" s="8"/>
      <c r="F4" s="8"/>
      <c r="G4" s="8"/>
      <c r="H4" s="9">
        <f t="shared" si="0"/>
        <v>0</v>
      </c>
      <c r="I4" s="9">
        <f t="shared" si="1"/>
        <v>0</v>
      </c>
      <c r="J4" s="10" t="str">
        <f t="shared" si="2"/>
        <v/>
      </c>
    </row>
    <row r="5" spans="1:10" ht="16.5" customHeight="1" x14ac:dyDescent="0.25">
      <c r="A5" s="5">
        <v>60320</v>
      </c>
      <c r="B5" s="5" t="s">
        <v>42</v>
      </c>
      <c r="C5" s="8"/>
      <c r="D5" s="8"/>
      <c r="E5" s="8"/>
      <c r="F5" s="8"/>
      <c r="G5" s="8"/>
      <c r="H5" s="9">
        <f t="shared" si="0"/>
        <v>0</v>
      </c>
      <c r="I5" s="9">
        <f t="shared" si="1"/>
        <v>0</v>
      </c>
      <c r="J5" s="10" t="str">
        <f t="shared" si="2"/>
        <v/>
      </c>
    </row>
    <row r="6" spans="1:10" ht="16.5" customHeight="1" x14ac:dyDescent="0.25">
      <c r="A6" s="5">
        <v>60410</v>
      </c>
      <c r="B6" s="5" t="s">
        <v>43</v>
      </c>
      <c r="C6" s="8"/>
      <c r="D6" s="8"/>
      <c r="E6" s="8"/>
      <c r="F6" s="8"/>
      <c r="G6" s="8"/>
      <c r="H6" s="9">
        <f t="shared" si="0"/>
        <v>0</v>
      </c>
      <c r="I6" s="9">
        <f t="shared" si="1"/>
        <v>0</v>
      </c>
      <c r="J6" s="10" t="str">
        <f t="shared" si="2"/>
        <v/>
      </c>
    </row>
    <row r="7" spans="1:10" ht="16.5" customHeight="1" x14ac:dyDescent="0.25">
      <c r="A7" s="5">
        <v>60611</v>
      </c>
      <c r="B7" s="5" t="s">
        <v>44</v>
      </c>
      <c r="C7" s="8"/>
      <c r="D7" s="8"/>
      <c r="E7" s="8"/>
      <c r="F7" s="8"/>
      <c r="G7" s="8"/>
      <c r="H7" s="9">
        <f>D7+E7+F7+G7</f>
        <v>0</v>
      </c>
      <c r="I7" s="9">
        <f t="shared" si="1"/>
        <v>0</v>
      </c>
      <c r="J7" s="10" t="str">
        <f t="shared" si="2"/>
        <v/>
      </c>
    </row>
    <row r="8" spans="1:10" ht="16.5" customHeight="1" x14ac:dyDescent="0.25">
      <c r="A8" s="5">
        <v>60626</v>
      </c>
      <c r="B8" s="5" t="s">
        <v>45</v>
      </c>
      <c r="C8" s="8"/>
      <c r="D8" s="8"/>
      <c r="E8" s="8"/>
      <c r="F8" s="8"/>
      <c r="G8" s="8"/>
      <c r="H8" s="9">
        <f t="shared" ref="H8:H68" si="3">D8+E8+F8+G8</f>
        <v>0</v>
      </c>
      <c r="I8" s="9">
        <f t="shared" ref="I8:I81" si="4">H8-C8</f>
        <v>0</v>
      </c>
      <c r="J8" s="10" t="str">
        <f t="shared" ref="J8:J78" si="5">IF(I8=0,"",IF(C8=0,"",I8/C8))</f>
        <v/>
      </c>
    </row>
    <row r="9" spans="1:10" ht="16.5" customHeight="1" x14ac:dyDescent="0.25">
      <c r="A9" s="5">
        <v>60630</v>
      </c>
      <c r="B9" s="5" t="s">
        <v>46</v>
      </c>
      <c r="C9" s="8"/>
      <c r="D9" s="8"/>
      <c r="E9" s="8"/>
      <c r="F9" s="8"/>
      <c r="G9" s="8"/>
      <c r="H9" s="9">
        <f t="shared" si="3"/>
        <v>0</v>
      </c>
      <c r="I9" s="9">
        <f t="shared" si="4"/>
        <v>0</v>
      </c>
      <c r="J9" s="10" t="str">
        <f t="shared" si="5"/>
        <v/>
      </c>
    </row>
    <row r="10" spans="1:10" ht="16.5" customHeight="1" x14ac:dyDescent="0.25">
      <c r="A10" s="5">
        <v>60632</v>
      </c>
      <c r="B10" s="5" t="s">
        <v>47</v>
      </c>
      <c r="C10" s="8"/>
      <c r="D10" s="8"/>
      <c r="E10" s="8"/>
      <c r="F10" s="8"/>
      <c r="G10" s="8"/>
      <c r="H10" s="9">
        <f t="shared" si="3"/>
        <v>0</v>
      </c>
      <c r="I10" s="9">
        <f t="shared" si="4"/>
        <v>0</v>
      </c>
      <c r="J10" s="10" t="str">
        <f t="shared" si="5"/>
        <v/>
      </c>
    </row>
    <row r="11" spans="1:10" ht="16.5" customHeight="1" x14ac:dyDescent="0.25">
      <c r="A11" s="5">
        <v>60631</v>
      </c>
      <c r="B11" s="5" t="s">
        <v>48</v>
      </c>
      <c r="C11" s="8"/>
      <c r="D11" s="8"/>
      <c r="E11" s="8"/>
      <c r="F11" s="8"/>
      <c r="G11" s="8"/>
      <c r="H11" s="9">
        <f t="shared" si="3"/>
        <v>0</v>
      </c>
      <c r="I11" s="9">
        <f t="shared" si="4"/>
        <v>0</v>
      </c>
      <c r="J11" s="10" t="str">
        <f t="shared" si="5"/>
        <v/>
      </c>
    </row>
    <row r="12" spans="1:10" ht="16.5" customHeight="1" x14ac:dyDescent="0.25">
      <c r="A12" s="5">
        <v>60640</v>
      </c>
      <c r="B12" s="5" t="s">
        <v>49</v>
      </c>
      <c r="C12" s="8"/>
      <c r="D12" s="8"/>
      <c r="E12" s="8"/>
      <c r="F12" s="8"/>
      <c r="G12" s="8"/>
      <c r="H12" s="9">
        <f t="shared" si="3"/>
        <v>0</v>
      </c>
      <c r="I12" s="9">
        <f t="shared" si="4"/>
        <v>0</v>
      </c>
      <c r="J12" s="10" t="str">
        <f t="shared" si="5"/>
        <v/>
      </c>
    </row>
    <row r="13" spans="1:10" ht="16.5" customHeight="1" x14ac:dyDescent="0.25">
      <c r="A13" s="5">
        <v>60650</v>
      </c>
      <c r="B13" s="5" t="s">
        <v>50</v>
      </c>
      <c r="C13" s="8"/>
      <c r="D13" s="8"/>
      <c r="E13" s="8"/>
      <c r="F13" s="8"/>
      <c r="G13" s="8"/>
      <c r="H13" s="9">
        <f t="shared" si="3"/>
        <v>0</v>
      </c>
      <c r="I13" s="9">
        <f t="shared" si="4"/>
        <v>0</v>
      </c>
      <c r="J13" s="10" t="str">
        <f t="shared" si="5"/>
        <v/>
      </c>
    </row>
    <row r="14" spans="1:10" ht="16.5" customHeight="1" x14ac:dyDescent="0.25">
      <c r="A14" s="5">
        <v>60660</v>
      </c>
      <c r="B14" s="5" t="s">
        <v>51</v>
      </c>
      <c r="C14" s="8"/>
      <c r="D14" s="8"/>
      <c r="E14" s="8"/>
      <c r="F14" s="8"/>
      <c r="G14" s="8"/>
      <c r="H14" s="9">
        <f t="shared" si="3"/>
        <v>0</v>
      </c>
      <c r="I14" s="9">
        <f t="shared" si="4"/>
        <v>0</v>
      </c>
      <c r="J14" s="10" t="str">
        <f t="shared" si="5"/>
        <v/>
      </c>
    </row>
    <row r="15" spans="1:10" ht="16.5" customHeight="1" x14ac:dyDescent="0.25">
      <c r="A15" s="5">
        <v>60690</v>
      </c>
      <c r="B15" s="5" t="s">
        <v>52</v>
      </c>
      <c r="C15" s="8"/>
      <c r="D15" s="8"/>
      <c r="E15" s="8"/>
      <c r="F15" s="8"/>
      <c r="G15" s="8"/>
      <c r="H15" s="9">
        <f t="shared" si="3"/>
        <v>0</v>
      </c>
      <c r="I15" s="9">
        <f t="shared" si="4"/>
        <v>0</v>
      </c>
      <c r="J15" s="10" t="str">
        <f t="shared" si="5"/>
        <v/>
      </c>
    </row>
    <row r="16" spans="1:10" ht="16.5" customHeight="1" x14ac:dyDescent="0.25">
      <c r="A16" s="5">
        <v>61320</v>
      </c>
      <c r="B16" s="5" t="s">
        <v>53</v>
      </c>
      <c r="C16" s="8"/>
      <c r="D16" s="8"/>
      <c r="E16" s="8"/>
      <c r="F16" s="8"/>
      <c r="G16" s="8"/>
      <c r="H16" s="9">
        <f t="shared" si="3"/>
        <v>0</v>
      </c>
      <c r="I16" s="9">
        <f t="shared" si="4"/>
        <v>0</v>
      </c>
      <c r="J16" s="10" t="str">
        <f t="shared" si="5"/>
        <v/>
      </c>
    </row>
    <row r="17" spans="1:10" ht="16.5" customHeight="1" x14ac:dyDescent="0.25">
      <c r="A17" s="5">
        <v>61340</v>
      </c>
      <c r="B17" s="5" t="s">
        <v>54</v>
      </c>
      <c r="C17" s="8"/>
      <c r="D17" s="8"/>
      <c r="E17" s="8"/>
      <c r="F17" s="8"/>
      <c r="G17" s="8"/>
      <c r="H17" s="9">
        <f t="shared" si="3"/>
        <v>0</v>
      </c>
      <c r="I17" s="9">
        <f t="shared" si="4"/>
        <v>0</v>
      </c>
      <c r="J17" s="10" t="str">
        <f t="shared" si="5"/>
        <v/>
      </c>
    </row>
    <row r="18" spans="1:10" ht="16.5" customHeight="1" x14ac:dyDescent="0.25">
      <c r="A18" s="5">
        <v>61350</v>
      </c>
      <c r="B18" s="5" t="s">
        <v>55</v>
      </c>
      <c r="C18" s="8"/>
      <c r="D18" s="8"/>
      <c r="E18" s="8"/>
      <c r="F18" s="8"/>
      <c r="G18" s="8"/>
      <c r="H18" s="9">
        <f t="shared" si="3"/>
        <v>0</v>
      </c>
      <c r="I18" s="9">
        <f t="shared" si="4"/>
        <v>0</v>
      </c>
      <c r="J18" s="10" t="str">
        <f t="shared" si="5"/>
        <v/>
      </c>
    </row>
    <row r="19" spans="1:10" ht="16.5" customHeight="1" x14ac:dyDescent="0.25">
      <c r="A19" s="5">
        <v>61360</v>
      </c>
      <c r="B19" s="5" t="s">
        <v>56</v>
      </c>
      <c r="C19" s="8"/>
      <c r="D19" s="8"/>
      <c r="E19" s="8"/>
      <c r="F19" s="8"/>
      <c r="G19" s="8"/>
      <c r="H19" s="9">
        <f t="shared" si="3"/>
        <v>0</v>
      </c>
      <c r="I19" s="9">
        <f t="shared" si="4"/>
        <v>0</v>
      </c>
      <c r="J19" s="10" t="str">
        <f t="shared" si="5"/>
        <v/>
      </c>
    </row>
    <row r="20" spans="1:10" ht="16.5" customHeight="1" x14ac:dyDescent="0.25">
      <c r="A20" s="5">
        <v>61400</v>
      </c>
      <c r="B20" s="5" t="s">
        <v>57</v>
      </c>
      <c r="C20" s="8"/>
      <c r="D20" s="8"/>
      <c r="E20" s="8"/>
      <c r="F20" s="8"/>
      <c r="G20" s="8"/>
      <c r="H20" s="9">
        <f t="shared" si="3"/>
        <v>0</v>
      </c>
      <c r="I20" s="9">
        <f t="shared" si="4"/>
        <v>0</v>
      </c>
      <c r="J20" s="10" t="str">
        <f t="shared" si="5"/>
        <v/>
      </c>
    </row>
    <row r="21" spans="1:10" ht="16.5" customHeight="1" x14ac:dyDescent="0.25">
      <c r="A21" s="5">
        <v>61520</v>
      </c>
      <c r="B21" s="5" t="s">
        <v>58</v>
      </c>
      <c r="C21" s="8"/>
      <c r="D21" s="8"/>
      <c r="E21" s="8"/>
      <c r="F21" s="8"/>
      <c r="G21" s="8"/>
      <c r="H21" s="9">
        <f t="shared" si="3"/>
        <v>0</v>
      </c>
      <c r="I21" s="9">
        <f t="shared" si="4"/>
        <v>0</v>
      </c>
      <c r="J21" s="10" t="str">
        <f t="shared" si="5"/>
        <v/>
      </c>
    </row>
    <row r="22" spans="1:10" ht="16.5" customHeight="1" x14ac:dyDescent="0.25">
      <c r="A22" s="5">
        <v>61521</v>
      </c>
      <c r="B22" s="5" t="s">
        <v>59</v>
      </c>
      <c r="C22" s="8"/>
      <c r="D22" s="8"/>
      <c r="E22" s="8"/>
      <c r="F22" s="8"/>
      <c r="G22" s="8"/>
      <c r="H22" s="9">
        <f t="shared" si="3"/>
        <v>0</v>
      </c>
      <c r="I22" s="9">
        <f t="shared" si="4"/>
        <v>0</v>
      </c>
      <c r="J22" s="10" t="str">
        <f t="shared" si="5"/>
        <v/>
      </c>
    </row>
    <row r="23" spans="1:10" ht="16.5" customHeight="1" x14ac:dyDescent="0.25">
      <c r="A23" s="5">
        <v>61522</v>
      </c>
      <c r="B23" s="5" t="s">
        <v>60</v>
      </c>
      <c r="C23" s="8"/>
      <c r="D23" s="8"/>
      <c r="E23" s="8"/>
      <c r="F23" s="8"/>
      <c r="G23" s="8"/>
      <c r="H23" s="9">
        <f t="shared" si="3"/>
        <v>0</v>
      </c>
      <c r="I23" s="9">
        <f t="shared" si="4"/>
        <v>0</v>
      </c>
      <c r="J23" s="10" t="str">
        <f t="shared" si="5"/>
        <v/>
      </c>
    </row>
    <row r="24" spans="1:10" ht="16.5" customHeight="1" x14ac:dyDescent="0.25">
      <c r="A24" s="5">
        <v>61600</v>
      </c>
      <c r="B24" s="5" t="s">
        <v>61</v>
      </c>
      <c r="C24" s="8"/>
      <c r="D24" s="8"/>
      <c r="E24" s="8"/>
      <c r="F24" s="8"/>
      <c r="G24" s="8"/>
      <c r="H24" s="9">
        <f t="shared" si="3"/>
        <v>0</v>
      </c>
      <c r="I24" s="9">
        <f t="shared" si="4"/>
        <v>0</v>
      </c>
      <c r="J24" s="10" t="str">
        <f t="shared" si="5"/>
        <v/>
      </c>
    </row>
    <row r="25" spans="1:10" ht="16.5" customHeight="1" x14ac:dyDescent="0.25">
      <c r="A25" s="5">
        <v>61830</v>
      </c>
      <c r="B25" s="5" t="s">
        <v>62</v>
      </c>
      <c r="C25" s="8"/>
      <c r="D25" s="8"/>
      <c r="E25" s="8"/>
      <c r="F25" s="8"/>
      <c r="G25" s="8"/>
      <c r="H25" s="9">
        <f t="shared" si="3"/>
        <v>0</v>
      </c>
      <c r="I25" s="9">
        <f t="shared" si="4"/>
        <v>0</v>
      </c>
      <c r="J25" s="10" t="str">
        <f t="shared" si="5"/>
        <v/>
      </c>
    </row>
    <row r="26" spans="1:10" ht="16.5" customHeight="1" x14ac:dyDescent="0.25">
      <c r="A26" s="5">
        <v>62110</v>
      </c>
      <c r="B26" s="5" t="s">
        <v>63</v>
      </c>
      <c r="C26" s="8"/>
      <c r="D26" s="8"/>
      <c r="E26" s="8"/>
      <c r="F26" s="8"/>
      <c r="G26" s="8"/>
      <c r="H26" s="9">
        <f t="shared" si="3"/>
        <v>0</v>
      </c>
      <c r="I26" s="9">
        <f t="shared" si="4"/>
        <v>0</v>
      </c>
      <c r="J26" s="10" t="str">
        <f t="shared" si="5"/>
        <v/>
      </c>
    </row>
    <row r="27" spans="1:10" ht="16.5" customHeight="1" x14ac:dyDescent="0.25">
      <c r="A27" s="5">
        <v>62111</v>
      </c>
      <c r="B27" s="5" t="s">
        <v>64</v>
      </c>
      <c r="C27" s="8"/>
      <c r="D27" s="8"/>
      <c r="E27" s="8"/>
      <c r="F27" s="8"/>
      <c r="G27" s="8"/>
      <c r="H27" s="9">
        <f t="shared" si="3"/>
        <v>0</v>
      </c>
      <c r="I27" s="9">
        <f t="shared" si="4"/>
        <v>0</v>
      </c>
      <c r="J27" s="10" t="str">
        <f t="shared" si="5"/>
        <v/>
      </c>
    </row>
    <row r="28" spans="1:10" ht="16.5" customHeight="1" x14ac:dyDescent="0.25">
      <c r="A28" s="5">
        <v>62112</v>
      </c>
      <c r="B28" s="5" t="s">
        <v>65</v>
      </c>
      <c r="C28" s="8"/>
      <c r="D28" s="8"/>
      <c r="E28" s="8"/>
      <c r="F28" s="8"/>
      <c r="G28" s="8"/>
      <c r="H28" s="9">
        <f t="shared" si="3"/>
        <v>0</v>
      </c>
      <c r="I28" s="9">
        <f t="shared" si="4"/>
        <v>0</v>
      </c>
      <c r="J28" s="10" t="str">
        <f t="shared" si="5"/>
        <v/>
      </c>
    </row>
    <row r="29" spans="1:10" ht="16.5" customHeight="1" x14ac:dyDescent="0.25">
      <c r="A29" s="5">
        <v>62260</v>
      </c>
      <c r="B29" s="5" t="s">
        <v>66</v>
      </c>
      <c r="C29" s="8"/>
      <c r="D29" s="8"/>
      <c r="E29" s="8"/>
      <c r="F29" s="8"/>
      <c r="G29" s="8"/>
      <c r="H29" s="9">
        <f t="shared" si="3"/>
        <v>0</v>
      </c>
      <c r="I29" s="9">
        <f t="shared" si="4"/>
        <v>0</v>
      </c>
      <c r="J29" s="10" t="str">
        <f t="shared" si="5"/>
        <v/>
      </c>
    </row>
    <row r="30" spans="1:10" ht="16.5" customHeight="1" x14ac:dyDescent="0.25">
      <c r="A30" s="5">
        <v>62261</v>
      </c>
      <c r="B30" s="5" t="s">
        <v>67</v>
      </c>
      <c r="C30" s="8"/>
      <c r="D30" s="8"/>
      <c r="E30" s="8"/>
      <c r="F30" s="8"/>
      <c r="G30" s="8"/>
      <c r="H30" s="9">
        <f t="shared" si="3"/>
        <v>0</v>
      </c>
      <c r="I30" s="9">
        <f t="shared" si="4"/>
        <v>0</v>
      </c>
      <c r="J30" s="10" t="str">
        <f t="shared" si="5"/>
        <v/>
      </c>
    </row>
    <row r="31" spans="1:10" ht="16.5" customHeight="1" x14ac:dyDescent="0.25">
      <c r="A31" s="5">
        <v>62270</v>
      </c>
      <c r="B31" s="5" t="s">
        <v>68</v>
      </c>
      <c r="C31" s="8"/>
      <c r="D31" s="8"/>
      <c r="E31" s="8"/>
      <c r="F31" s="8"/>
      <c r="G31" s="8"/>
      <c r="H31" s="9">
        <f t="shared" si="3"/>
        <v>0</v>
      </c>
      <c r="I31" s="9">
        <f t="shared" si="4"/>
        <v>0</v>
      </c>
      <c r="J31" s="10" t="str">
        <f t="shared" si="5"/>
        <v/>
      </c>
    </row>
    <row r="32" spans="1:10" ht="16.5" customHeight="1" x14ac:dyDescent="0.25">
      <c r="A32" s="5">
        <v>62310</v>
      </c>
      <c r="B32" s="5" t="s">
        <v>69</v>
      </c>
      <c r="C32" s="8"/>
      <c r="D32" s="8"/>
      <c r="E32" s="8"/>
      <c r="F32" s="8"/>
      <c r="G32" s="8"/>
      <c r="H32" s="9">
        <f t="shared" si="3"/>
        <v>0</v>
      </c>
      <c r="I32" s="9">
        <f t="shared" si="4"/>
        <v>0</v>
      </c>
      <c r="J32" s="10" t="str">
        <f t="shared" si="5"/>
        <v/>
      </c>
    </row>
    <row r="33" spans="1:10" ht="16.5" customHeight="1" x14ac:dyDescent="0.25">
      <c r="A33" s="5">
        <v>62320</v>
      </c>
      <c r="B33" s="5" t="s">
        <v>70</v>
      </c>
      <c r="C33" s="8"/>
      <c r="D33" s="8"/>
      <c r="E33" s="8"/>
      <c r="F33" s="8"/>
      <c r="G33" s="8"/>
      <c r="H33" s="9">
        <f t="shared" si="3"/>
        <v>0</v>
      </c>
      <c r="I33" s="9">
        <f t="shared" si="4"/>
        <v>0</v>
      </c>
      <c r="J33" s="10" t="str">
        <f t="shared" si="5"/>
        <v/>
      </c>
    </row>
    <row r="34" spans="1:10" ht="16.5" customHeight="1" x14ac:dyDescent="0.25">
      <c r="A34" s="5">
        <v>62340</v>
      </c>
      <c r="B34" s="5" t="s">
        <v>71</v>
      </c>
      <c r="C34" s="8"/>
      <c r="D34" s="8"/>
      <c r="E34" s="8"/>
      <c r="F34" s="8"/>
      <c r="G34" s="8"/>
      <c r="H34" s="9">
        <f t="shared" si="3"/>
        <v>0</v>
      </c>
      <c r="I34" s="9">
        <f t="shared" si="4"/>
        <v>0</v>
      </c>
      <c r="J34" s="10" t="str">
        <f t="shared" si="5"/>
        <v/>
      </c>
    </row>
    <row r="35" spans="1:10" ht="16.5" customHeight="1" x14ac:dyDescent="0.25">
      <c r="A35" s="5">
        <v>62410</v>
      </c>
      <c r="B35" s="5" t="s">
        <v>72</v>
      </c>
      <c r="C35" s="8"/>
      <c r="D35" s="8"/>
      <c r="E35" s="8"/>
      <c r="F35" s="8"/>
      <c r="G35" s="8"/>
      <c r="H35" s="9">
        <f t="shared" si="3"/>
        <v>0</v>
      </c>
      <c r="I35" s="9">
        <f t="shared" si="4"/>
        <v>0</v>
      </c>
      <c r="J35" s="10" t="str">
        <f t="shared" si="5"/>
        <v/>
      </c>
    </row>
    <row r="36" spans="1:10" ht="16.5" customHeight="1" x14ac:dyDescent="0.25">
      <c r="A36" s="5">
        <v>62510</v>
      </c>
      <c r="B36" s="5" t="s">
        <v>73</v>
      </c>
      <c r="C36" s="8"/>
      <c r="D36" s="8"/>
      <c r="E36" s="8"/>
      <c r="F36" s="8"/>
      <c r="G36" s="8"/>
      <c r="H36" s="9">
        <f t="shared" si="3"/>
        <v>0</v>
      </c>
      <c r="I36" s="9">
        <f t="shared" si="4"/>
        <v>0</v>
      </c>
      <c r="J36" s="10" t="str">
        <f t="shared" si="5"/>
        <v/>
      </c>
    </row>
    <row r="37" spans="1:10" ht="16.5" customHeight="1" x14ac:dyDescent="0.25">
      <c r="A37" s="5">
        <v>62520</v>
      </c>
      <c r="B37" s="5" t="s">
        <v>74</v>
      </c>
      <c r="C37" s="8"/>
      <c r="D37" s="8"/>
      <c r="E37" s="8"/>
      <c r="F37" s="8"/>
      <c r="G37" s="8"/>
      <c r="H37" s="9">
        <f t="shared" si="3"/>
        <v>0</v>
      </c>
      <c r="I37" s="9">
        <f t="shared" si="4"/>
        <v>0</v>
      </c>
      <c r="J37" s="10" t="str">
        <f t="shared" si="5"/>
        <v/>
      </c>
    </row>
    <row r="38" spans="1:10" ht="16.5" customHeight="1" x14ac:dyDescent="0.25">
      <c r="A38" s="5">
        <v>62550</v>
      </c>
      <c r="B38" s="5" t="s">
        <v>75</v>
      </c>
      <c r="C38" s="8"/>
      <c r="D38" s="8"/>
      <c r="E38" s="8"/>
      <c r="F38" s="8"/>
      <c r="G38" s="8"/>
      <c r="H38" s="9">
        <f t="shared" si="3"/>
        <v>0</v>
      </c>
      <c r="I38" s="9">
        <f t="shared" si="4"/>
        <v>0</v>
      </c>
      <c r="J38" s="10" t="str">
        <f t="shared" si="5"/>
        <v/>
      </c>
    </row>
    <row r="39" spans="1:10" ht="16.5" customHeight="1" x14ac:dyDescent="0.25">
      <c r="A39" s="5">
        <v>62560</v>
      </c>
      <c r="B39" s="5" t="s">
        <v>76</v>
      </c>
      <c r="C39" s="8"/>
      <c r="D39" s="8"/>
      <c r="E39" s="8"/>
      <c r="F39" s="8"/>
      <c r="G39" s="8"/>
      <c r="H39" s="9">
        <f t="shared" si="3"/>
        <v>0</v>
      </c>
      <c r="I39" s="9">
        <f t="shared" si="4"/>
        <v>0</v>
      </c>
      <c r="J39" s="10" t="str">
        <f t="shared" si="5"/>
        <v/>
      </c>
    </row>
    <row r="40" spans="1:10" ht="16.5" customHeight="1" x14ac:dyDescent="0.25">
      <c r="A40" s="5">
        <v>62610</v>
      </c>
      <c r="B40" s="5" t="s">
        <v>77</v>
      </c>
      <c r="C40" s="8"/>
      <c r="D40" s="8"/>
      <c r="E40" s="8"/>
      <c r="F40" s="8"/>
      <c r="G40" s="8"/>
      <c r="H40" s="9">
        <f t="shared" si="3"/>
        <v>0</v>
      </c>
      <c r="I40" s="9">
        <f t="shared" si="4"/>
        <v>0</v>
      </c>
      <c r="J40" s="10" t="str">
        <f t="shared" si="5"/>
        <v/>
      </c>
    </row>
    <row r="41" spans="1:10" ht="16.5" customHeight="1" x14ac:dyDescent="0.25">
      <c r="A41" s="5">
        <v>62620</v>
      </c>
      <c r="B41" s="5" t="s">
        <v>78</v>
      </c>
      <c r="C41" s="8"/>
      <c r="D41" s="8"/>
      <c r="E41" s="8"/>
      <c r="F41" s="8"/>
      <c r="G41" s="8"/>
      <c r="H41" s="9">
        <f t="shared" si="3"/>
        <v>0</v>
      </c>
      <c r="I41" s="9">
        <f t="shared" si="4"/>
        <v>0</v>
      </c>
      <c r="J41" s="10" t="str">
        <f t="shared" si="5"/>
        <v/>
      </c>
    </row>
    <row r="42" spans="1:10" ht="16.5" customHeight="1" x14ac:dyDescent="0.25">
      <c r="A42" s="5">
        <v>62640</v>
      </c>
      <c r="B42" s="5" t="s">
        <v>79</v>
      </c>
      <c r="C42" s="8"/>
      <c r="D42" s="8"/>
      <c r="E42" s="8"/>
      <c r="F42" s="8"/>
      <c r="G42" s="8"/>
      <c r="H42" s="9">
        <f t="shared" si="3"/>
        <v>0</v>
      </c>
      <c r="I42" s="9">
        <f t="shared" si="4"/>
        <v>0</v>
      </c>
      <c r="J42" s="10" t="str">
        <f t="shared" si="5"/>
        <v/>
      </c>
    </row>
    <row r="43" spans="1:10" ht="16.5" customHeight="1" x14ac:dyDescent="0.25">
      <c r="A43" s="5">
        <v>62680</v>
      </c>
      <c r="B43" s="5" t="s">
        <v>80</v>
      </c>
      <c r="C43" s="8"/>
      <c r="D43" s="8"/>
      <c r="E43" s="8"/>
      <c r="F43" s="8"/>
      <c r="G43" s="8"/>
      <c r="H43" s="9">
        <f t="shared" si="3"/>
        <v>0</v>
      </c>
      <c r="I43" s="9">
        <f t="shared" si="4"/>
        <v>0</v>
      </c>
      <c r="J43" s="10" t="str">
        <f t="shared" si="5"/>
        <v/>
      </c>
    </row>
    <row r="44" spans="1:10" ht="16.5" customHeight="1" x14ac:dyDescent="0.25">
      <c r="A44" s="5">
        <v>62710</v>
      </c>
      <c r="B44" s="5" t="s">
        <v>81</v>
      </c>
      <c r="C44" s="8"/>
      <c r="D44" s="8"/>
      <c r="E44" s="8"/>
      <c r="F44" s="8"/>
      <c r="G44" s="8"/>
      <c r="H44" s="9">
        <f t="shared" si="3"/>
        <v>0</v>
      </c>
      <c r="I44" s="9">
        <f t="shared" si="4"/>
        <v>0</v>
      </c>
      <c r="J44" s="10" t="str">
        <f t="shared" si="5"/>
        <v/>
      </c>
    </row>
    <row r="45" spans="1:10" ht="16.5" customHeight="1" x14ac:dyDescent="0.25">
      <c r="A45" s="5">
        <v>62810</v>
      </c>
      <c r="B45" s="5" t="s">
        <v>82</v>
      </c>
      <c r="C45" s="8"/>
      <c r="D45" s="8"/>
      <c r="E45" s="8"/>
      <c r="F45" s="8"/>
      <c r="G45" s="8"/>
      <c r="H45" s="9">
        <f t="shared" si="3"/>
        <v>0</v>
      </c>
      <c r="I45" s="9">
        <f t="shared" si="4"/>
        <v>0</v>
      </c>
      <c r="J45" s="10" t="str">
        <f t="shared" si="5"/>
        <v/>
      </c>
    </row>
    <row r="46" spans="1:10" ht="16.5" customHeight="1" x14ac:dyDescent="0.25">
      <c r="A46" s="5">
        <v>62830</v>
      </c>
      <c r="B46" s="5" t="s">
        <v>83</v>
      </c>
      <c r="C46" s="8"/>
      <c r="D46" s="8"/>
      <c r="E46" s="8"/>
      <c r="F46" s="8"/>
      <c r="G46" s="8"/>
      <c r="H46" s="9">
        <f t="shared" si="3"/>
        <v>0</v>
      </c>
      <c r="I46" s="9">
        <f t="shared" si="4"/>
        <v>0</v>
      </c>
      <c r="J46" s="10" t="str">
        <f t="shared" si="5"/>
        <v/>
      </c>
    </row>
    <row r="47" spans="1:10" ht="16.5" customHeight="1" x14ac:dyDescent="0.25">
      <c r="A47" s="5">
        <v>62840</v>
      </c>
      <c r="B47" s="5" t="s">
        <v>84</v>
      </c>
      <c r="C47" s="8"/>
      <c r="D47" s="8"/>
      <c r="E47" s="8"/>
      <c r="F47" s="8"/>
      <c r="G47" s="8"/>
      <c r="H47" s="9">
        <f t="shared" si="3"/>
        <v>0</v>
      </c>
      <c r="I47" s="9">
        <f t="shared" si="4"/>
        <v>0</v>
      </c>
      <c r="J47" s="10" t="str">
        <f t="shared" si="5"/>
        <v/>
      </c>
    </row>
    <row r="48" spans="1:10" ht="16.5" customHeight="1" x14ac:dyDescent="0.25">
      <c r="A48" s="5">
        <v>62850</v>
      </c>
      <c r="B48" s="5" t="s">
        <v>85</v>
      </c>
      <c r="C48" s="8"/>
      <c r="D48" s="8"/>
      <c r="E48" s="8"/>
      <c r="F48" s="8"/>
      <c r="G48" s="8"/>
      <c r="H48" s="9">
        <f t="shared" si="3"/>
        <v>0</v>
      </c>
      <c r="I48" s="9">
        <f t="shared" si="4"/>
        <v>0</v>
      </c>
      <c r="J48" s="10" t="str">
        <f t="shared" si="5"/>
        <v/>
      </c>
    </row>
    <row r="49" spans="1:10" ht="16.5" customHeight="1" x14ac:dyDescent="0.25">
      <c r="A49" s="5">
        <v>63110</v>
      </c>
      <c r="B49" s="5" t="s">
        <v>86</v>
      </c>
      <c r="C49" s="8"/>
      <c r="D49" s="8"/>
      <c r="E49" s="8"/>
      <c r="F49" s="8"/>
      <c r="G49" s="8"/>
      <c r="H49" s="9">
        <f t="shared" si="3"/>
        <v>0</v>
      </c>
      <c r="I49" s="9">
        <f t="shared" si="4"/>
        <v>0</v>
      </c>
      <c r="J49" s="10" t="str">
        <f t="shared" si="5"/>
        <v/>
      </c>
    </row>
    <row r="50" spans="1:10" ht="16.5" customHeight="1" x14ac:dyDescent="0.25">
      <c r="A50" s="5">
        <v>63111</v>
      </c>
      <c r="B50" s="5" t="s">
        <v>87</v>
      </c>
      <c r="C50" s="8"/>
      <c r="D50" s="8"/>
      <c r="E50" s="8"/>
      <c r="F50" s="8"/>
      <c r="G50" s="8"/>
      <c r="H50" s="9">
        <f t="shared" si="3"/>
        <v>0</v>
      </c>
      <c r="I50" s="9">
        <f t="shared" si="4"/>
        <v>0</v>
      </c>
      <c r="J50" s="10" t="str">
        <f t="shared" si="5"/>
        <v/>
      </c>
    </row>
    <row r="51" spans="1:10" ht="16.5" customHeight="1" x14ac:dyDescent="0.25">
      <c r="A51" s="5">
        <v>63112</v>
      </c>
      <c r="B51" s="5" t="s">
        <v>88</v>
      </c>
      <c r="C51" s="8"/>
      <c r="D51" s="8"/>
      <c r="E51" s="8"/>
      <c r="F51" s="8"/>
      <c r="G51" s="8"/>
      <c r="H51" s="9">
        <f t="shared" si="3"/>
        <v>0</v>
      </c>
      <c r="I51" s="9">
        <f t="shared" si="4"/>
        <v>0</v>
      </c>
      <c r="J51" s="10" t="str">
        <f t="shared" si="5"/>
        <v/>
      </c>
    </row>
    <row r="52" spans="1:10" ht="16.5" customHeight="1" x14ac:dyDescent="0.25">
      <c r="A52" s="5">
        <v>63120</v>
      </c>
      <c r="B52" s="5" t="s">
        <v>89</v>
      </c>
      <c r="C52" s="8"/>
      <c r="D52" s="8"/>
      <c r="E52" s="8"/>
      <c r="F52" s="8"/>
      <c r="G52" s="8"/>
      <c r="H52" s="9">
        <f t="shared" si="3"/>
        <v>0</v>
      </c>
      <c r="I52" s="9">
        <f t="shared" si="4"/>
        <v>0</v>
      </c>
      <c r="J52" s="10" t="str">
        <f t="shared" si="5"/>
        <v/>
      </c>
    </row>
    <row r="53" spans="1:10" ht="16.5" customHeight="1" x14ac:dyDescent="0.25">
      <c r="A53" s="5">
        <v>63121</v>
      </c>
      <c r="B53" s="5" t="s">
        <v>90</v>
      </c>
      <c r="C53" s="8"/>
      <c r="D53" s="8"/>
      <c r="E53" s="8"/>
      <c r="F53" s="8"/>
      <c r="G53" s="8"/>
      <c r="H53" s="9">
        <f t="shared" si="3"/>
        <v>0</v>
      </c>
      <c r="I53" s="9">
        <f t="shared" si="4"/>
        <v>0</v>
      </c>
      <c r="J53" s="10" t="str">
        <f t="shared" si="5"/>
        <v/>
      </c>
    </row>
    <row r="54" spans="1:10" ht="16.5" customHeight="1" x14ac:dyDescent="0.25">
      <c r="A54" s="5">
        <v>63330</v>
      </c>
      <c r="B54" s="5" t="s">
        <v>91</v>
      </c>
      <c r="C54" s="8"/>
      <c r="D54" s="8"/>
      <c r="E54" s="8"/>
      <c r="F54" s="8"/>
      <c r="G54" s="8"/>
      <c r="H54" s="9">
        <f t="shared" si="3"/>
        <v>0</v>
      </c>
      <c r="I54" s="9">
        <f t="shared" si="4"/>
        <v>0</v>
      </c>
      <c r="J54" s="10" t="str">
        <f t="shared" si="5"/>
        <v/>
      </c>
    </row>
    <row r="55" spans="1:10" ht="16.5" customHeight="1" x14ac:dyDescent="0.25">
      <c r="A55" s="5">
        <v>63331</v>
      </c>
      <c r="B55" s="5" t="s">
        <v>92</v>
      </c>
      <c r="C55" s="8"/>
      <c r="D55" s="8"/>
      <c r="E55" s="8"/>
      <c r="F55" s="8"/>
      <c r="G55" s="8"/>
      <c r="H55" s="9">
        <f t="shared" si="3"/>
        <v>0</v>
      </c>
      <c r="I55" s="9">
        <f t="shared" si="4"/>
        <v>0</v>
      </c>
      <c r="J55" s="10" t="str">
        <f t="shared" si="5"/>
        <v/>
      </c>
    </row>
    <row r="56" spans="1:10" ht="16.5" customHeight="1" x14ac:dyDescent="0.25">
      <c r="A56" s="5">
        <v>63332</v>
      </c>
      <c r="B56" s="5" t="s">
        <v>93</v>
      </c>
      <c r="C56" s="8"/>
      <c r="D56" s="8"/>
      <c r="E56" s="8"/>
      <c r="F56" s="8"/>
      <c r="G56" s="8"/>
      <c r="H56" s="9">
        <f t="shared" si="3"/>
        <v>0</v>
      </c>
      <c r="I56" s="9">
        <f t="shared" si="4"/>
        <v>0</v>
      </c>
      <c r="J56" s="10" t="str">
        <f t="shared" si="5"/>
        <v/>
      </c>
    </row>
    <row r="57" spans="1:10" ht="16.5" customHeight="1" x14ac:dyDescent="0.25">
      <c r="A57" s="5">
        <v>63510</v>
      </c>
      <c r="B57" s="5" t="s">
        <v>94</v>
      </c>
      <c r="C57" s="8"/>
      <c r="D57" s="8"/>
      <c r="E57" s="8"/>
      <c r="F57" s="8"/>
      <c r="G57" s="8"/>
      <c r="H57" s="9">
        <f t="shared" si="3"/>
        <v>0</v>
      </c>
      <c r="I57" s="9">
        <f t="shared" si="4"/>
        <v>0</v>
      </c>
      <c r="J57" s="10" t="str">
        <f t="shared" si="5"/>
        <v/>
      </c>
    </row>
    <row r="58" spans="1:10" ht="16.5" customHeight="1" x14ac:dyDescent="0.25">
      <c r="A58" s="5">
        <v>64110</v>
      </c>
      <c r="B58" s="5" t="s">
        <v>95</v>
      </c>
      <c r="C58" s="8"/>
      <c r="D58" s="8"/>
      <c r="E58" s="8"/>
      <c r="F58" s="8"/>
      <c r="G58" s="8"/>
      <c r="H58" s="9">
        <f t="shared" si="3"/>
        <v>0</v>
      </c>
      <c r="I58" s="9">
        <f t="shared" si="4"/>
        <v>0</v>
      </c>
      <c r="J58" s="10" t="str">
        <f t="shared" si="5"/>
        <v/>
      </c>
    </row>
    <row r="59" spans="1:10" ht="16.5" customHeight="1" x14ac:dyDescent="0.25">
      <c r="A59" s="5">
        <v>64111</v>
      </c>
      <c r="B59" s="5" t="s">
        <v>96</v>
      </c>
      <c r="C59" s="8"/>
      <c r="D59" s="8"/>
      <c r="E59" s="8"/>
      <c r="F59" s="8"/>
      <c r="G59" s="8"/>
      <c r="H59" s="9">
        <f t="shared" si="3"/>
        <v>0</v>
      </c>
      <c r="I59" s="9">
        <f t="shared" si="4"/>
        <v>0</v>
      </c>
      <c r="J59" s="10" t="str">
        <f t="shared" si="5"/>
        <v/>
      </c>
    </row>
    <row r="60" spans="1:10" ht="16.5" customHeight="1" x14ac:dyDescent="0.25">
      <c r="A60" s="5">
        <v>64112</v>
      </c>
      <c r="B60" s="5" t="s">
        <v>97</v>
      </c>
      <c r="C60" s="8"/>
      <c r="D60" s="8"/>
      <c r="E60" s="8"/>
      <c r="F60" s="8"/>
      <c r="G60" s="8"/>
      <c r="H60" s="9">
        <f t="shared" si="3"/>
        <v>0</v>
      </c>
      <c r="I60" s="9">
        <f t="shared" si="4"/>
        <v>0</v>
      </c>
      <c r="J60" s="10" t="str">
        <f t="shared" si="5"/>
        <v/>
      </c>
    </row>
    <row r="61" spans="1:10" ht="16.5" customHeight="1" x14ac:dyDescent="0.25">
      <c r="A61" s="5">
        <v>64120</v>
      </c>
      <c r="B61" s="5" t="s">
        <v>98</v>
      </c>
      <c r="C61" s="8"/>
      <c r="D61" s="8"/>
      <c r="E61" s="8"/>
      <c r="F61" s="8"/>
      <c r="G61" s="8"/>
      <c r="H61" s="9">
        <f t="shared" si="3"/>
        <v>0</v>
      </c>
      <c r="I61" s="9">
        <f t="shared" si="4"/>
        <v>0</v>
      </c>
      <c r="J61" s="10" t="str">
        <f t="shared" si="5"/>
        <v/>
      </c>
    </row>
    <row r="62" spans="1:10" ht="16.5" customHeight="1" x14ac:dyDescent="0.25">
      <c r="A62" s="5">
        <v>64121</v>
      </c>
      <c r="B62" s="5" t="s">
        <v>99</v>
      </c>
      <c r="C62" s="8"/>
      <c r="D62" s="8"/>
      <c r="E62" s="8"/>
      <c r="F62" s="8"/>
      <c r="G62" s="8"/>
      <c r="H62" s="9">
        <f t="shared" si="3"/>
        <v>0</v>
      </c>
      <c r="I62" s="9">
        <f t="shared" si="4"/>
        <v>0</v>
      </c>
      <c r="J62" s="10" t="str">
        <f t="shared" si="5"/>
        <v/>
      </c>
    </row>
    <row r="63" spans="1:10" ht="16.5" customHeight="1" x14ac:dyDescent="0.25">
      <c r="A63" s="5">
        <v>64122</v>
      </c>
      <c r="B63" s="5" t="s">
        <v>100</v>
      </c>
      <c r="C63" s="8"/>
      <c r="D63" s="8"/>
      <c r="E63" s="8"/>
      <c r="F63" s="8"/>
      <c r="G63" s="8"/>
      <c r="H63" s="9">
        <f t="shared" si="3"/>
        <v>0</v>
      </c>
      <c r="I63" s="9">
        <f t="shared" si="4"/>
        <v>0</v>
      </c>
      <c r="J63" s="10" t="str">
        <f t="shared" si="5"/>
        <v/>
      </c>
    </row>
    <row r="64" spans="1:10" ht="16.5" customHeight="1" x14ac:dyDescent="0.25">
      <c r="A64" s="5">
        <v>64510</v>
      </c>
      <c r="B64" s="5" t="s">
        <v>101</v>
      </c>
      <c r="C64" s="8"/>
      <c r="D64" s="8"/>
      <c r="E64" s="8"/>
      <c r="F64" s="8"/>
      <c r="G64" s="8"/>
      <c r="H64" s="9">
        <f t="shared" si="3"/>
        <v>0</v>
      </c>
      <c r="I64" s="9">
        <f t="shared" si="4"/>
        <v>0</v>
      </c>
      <c r="J64" s="10" t="str">
        <f t="shared" si="5"/>
        <v/>
      </c>
    </row>
    <row r="65" spans="1:10" ht="16.5" customHeight="1" x14ac:dyDescent="0.25">
      <c r="A65" s="5">
        <v>64511</v>
      </c>
      <c r="B65" s="5" t="s">
        <v>102</v>
      </c>
      <c r="C65" s="8"/>
      <c r="D65" s="8"/>
      <c r="E65" s="8"/>
      <c r="F65" s="8"/>
      <c r="G65" s="8"/>
      <c r="H65" s="9">
        <f t="shared" si="3"/>
        <v>0</v>
      </c>
      <c r="I65" s="9">
        <f t="shared" si="4"/>
        <v>0</v>
      </c>
      <c r="J65" s="10" t="str">
        <f t="shared" si="5"/>
        <v/>
      </c>
    </row>
    <row r="66" spans="1:10" ht="16.5" customHeight="1" x14ac:dyDescent="0.25">
      <c r="A66" s="5">
        <v>64512</v>
      </c>
      <c r="B66" s="5" t="s">
        <v>103</v>
      </c>
      <c r="C66" s="8"/>
      <c r="D66" s="8"/>
      <c r="E66" s="8"/>
      <c r="F66" s="8"/>
      <c r="G66" s="8"/>
      <c r="H66" s="9">
        <f t="shared" si="3"/>
        <v>0</v>
      </c>
      <c r="I66" s="9">
        <f t="shared" si="4"/>
        <v>0</v>
      </c>
      <c r="J66" s="10" t="str">
        <f t="shared" si="5"/>
        <v/>
      </c>
    </row>
    <row r="67" spans="1:10" ht="16.5" customHeight="1" x14ac:dyDescent="0.25">
      <c r="A67" s="5">
        <v>66110</v>
      </c>
      <c r="B67" s="5" t="s">
        <v>104</v>
      </c>
      <c r="C67" s="8"/>
      <c r="D67" s="8"/>
      <c r="E67" s="8"/>
      <c r="F67" s="8"/>
      <c r="G67" s="8"/>
      <c r="H67" s="9">
        <f t="shared" si="3"/>
        <v>0</v>
      </c>
      <c r="I67" s="9">
        <f t="shared" si="4"/>
        <v>0</v>
      </c>
      <c r="J67" s="10" t="str">
        <f t="shared" si="5"/>
        <v/>
      </c>
    </row>
    <row r="68" spans="1:10" ht="16.5" customHeight="1" x14ac:dyDescent="0.25">
      <c r="A68" s="5">
        <v>67800</v>
      </c>
      <c r="B68" s="5" t="s">
        <v>105</v>
      </c>
      <c r="C68" s="8"/>
      <c r="D68" s="8"/>
      <c r="E68" s="8"/>
      <c r="F68" s="8"/>
      <c r="G68" s="8"/>
      <c r="H68" s="9">
        <f t="shared" si="3"/>
        <v>0</v>
      </c>
      <c r="I68" s="9">
        <f t="shared" si="4"/>
        <v>0</v>
      </c>
      <c r="J68" s="10" t="str">
        <f t="shared" si="5"/>
        <v/>
      </c>
    </row>
    <row r="69" spans="1:10" ht="16.5" customHeight="1" x14ac:dyDescent="0.25">
      <c r="A69" s="1"/>
      <c r="B69" s="11" t="s">
        <v>106</v>
      </c>
      <c r="C69" s="12">
        <f>SUM(C3:C68)</f>
        <v>0</v>
      </c>
      <c r="D69" s="12">
        <f t="shared" ref="D69:G69" si="6">SUM(D3:D68)</f>
        <v>0</v>
      </c>
      <c r="E69" s="12">
        <f t="shared" si="6"/>
        <v>0</v>
      </c>
      <c r="F69" s="12">
        <f t="shared" si="6"/>
        <v>0</v>
      </c>
      <c r="G69" s="12">
        <f t="shared" si="6"/>
        <v>0</v>
      </c>
      <c r="H69" s="13">
        <f>D69+E69+F69+G69</f>
        <v>0</v>
      </c>
      <c r="I69" s="13">
        <f>H69-C69</f>
        <v>0</v>
      </c>
      <c r="J69" s="14" t="str">
        <f>IF(I69=0,"",IF(C69=0,"",I69/C69))</f>
        <v/>
      </c>
    </row>
    <row r="70" spans="1:10" ht="16.5" customHeight="1" x14ac:dyDescent="0.25">
      <c r="A70" s="15">
        <v>70600</v>
      </c>
      <c r="B70" s="15" t="s">
        <v>107</v>
      </c>
      <c r="C70" s="8"/>
      <c r="D70" s="8"/>
      <c r="E70" s="8"/>
      <c r="F70" s="8"/>
      <c r="G70" s="8"/>
      <c r="H70" s="9">
        <f t="shared" ref="H70:H81" si="7">D70+E70+F70+G70</f>
        <v>0</v>
      </c>
      <c r="I70" s="9">
        <f t="shared" si="4"/>
        <v>0</v>
      </c>
      <c r="J70" s="10" t="str">
        <f t="shared" si="5"/>
        <v/>
      </c>
    </row>
    <row r="71" spans="1:10" ht="16.5" customHeight="1" x14ac:dyDescent="0.25">
      <c r="A71" s="15">
        <v>70601</v>
      </c>
      <c r="B71" s="15" t="s">
        <v>108</v>
      </c>
      <c r="C71" s="8"/>
      <c r="D71" s="8"/>
      <c r="E71" s="8"/>
      <c r="F71" s="8"/>
      <c r="G71" s="8"/>
      <c r="H71" s="9">
        <f t="shared" si="7"/>
        <v>0</v>
      </c>
      <c r="I71" s="9">
        <f t="shared" si="4"/>
        <v>0</v>
      </c>
      <c r="J71" s="10" t="str">
        <f t="shared" si="5"/>
        <v/>
      </c>
    </row>
    <row r="72" spans="1:10" ht="16.5" customHeight="1" x14ac:dyDescent="0.25">
      <c r="A72" s="15">
        <v>70602</v>
      </c>
      <c r="B72" s="15" t="s">
        <v>109</v>
      </c>
      <c r="C72" s="8"/>
      <c r="D72" s="8"/>
      <c r="E72" s="8"/>
      <c r="F72" s="8"/>
      <c r="G72" s="8"/>
      <c r="H72" s="9">
        <f>D72+E72+F72+G72</f>
        <v>0</v>
      </c>
      <c r="I72" s="9">
        <f t="shared" si="4"/>
        <v>0</v>
      </c>
      <c r="J72" s="10" t="str">
        <f t="shared" si="5"/>
        <v/>
      </c>
    </row>
    <row r="73" spans="1:10" ht="16.5" customHeight="1" x14ac:dyDescent="0.25">
      <c r="A73" s="15">
        <v>70620</v>
      </c>
      <c r="B73" s="15" t="s">
        <v>110</v>
      </c>
      <c r="C73" s="8"/>
      <c r="D73" s="8"/>
      <c r="E73" s="8"/>
      <c r="F73" s="8"/>
      <c r="G73" s="8"/>
      <c r="H73" s="9">
        <f>D73+E73+F73+G73</f>
        <v>0</v>
      </c>
      <c r="I73" s="9">
        <f t="shared" si="4"/>
        <v>0</v>
      </c>
      <c r="J73" s="10" t="str">
        <f t="shared" si="5"/>
        <v/>
      </c>
    </row>
    <row r="74" spans="1:10" ht="16.5" customHeight="1" x14ac:dyDescent="0.25">
      <c r="A74" s="15">
        <v>70700</v>
      </c>
      <c r="B74" s="15" t="s">
        <v>111</v>
      </c>
      <c r="C74" s="8"/>
      <c r="D74" s="8"/>
      <c r="E74" s="8"/>
      <c r="F74" s="8"/>
      <c r="G74" s="8"/>
      <c r="H74" s="9">
        <f t="shared" si="7"/>
        <v>0</v>
      </c>
      <c r="I74" s="9">
        <f t="shared" si="4"/>
        <v>0</v>
      </c>
      <c r="J74" s="10" t="str">
        <f t="shared" si="5"/>
        <v/>
      </c>
    </row>
    <row r="75" spans="1:10" ht="16.5" customHeight="1" x14ac:dyDescent="0.25">
      <c r="A75" s="15">
        <v>70701</v>
      </c>
      <c r="B75" s="15" t="s">
        <v>112</v>
      </c>
      <c r="C75" s="8"/>
      <c r="D75" s="8"/>
      <c r="E75" s="8"/>
      <c r="F75" s="8"/>
      <c r="G75" s="8"/>
      <c r="H75" s="9">
        <f t="shared" si="7"/>
        <v>0</v>
      </c>
      <c r="I75" s="9">
        <f t="shared" si="4"/>
        <v>0</v>
      </c>
      <c r="J75" s="10" t="str">
        <f t="shared" si="5"/>
        <v/>
      </c>
    </row>
    <row r="76" spans="1:10" ht="16.5" customHeight="1" x14ac:dyDescent="0.25">
      <c r="A76" s="15">
        <v>70702</v>
      </c>
      <c r="B76" s="15" t="s">
        <v>113</v>
      </c>
      <c r="C76" s="8"/>
      <c r="D76" s="8"/>
      <c r="E76" s="8"/>
      <c r="F76" s="8"/>
      <c r="G76" s="8"/>
      <c r="H76" s="9">
        <f t="shared" si="7"/>
        <v>0</v>
      </c>
      <c r="I76" s="9">
        <f t="shared" si="4"/>
        <v>0</v>
      </c>
      <c r="J76" s="10" t="str">
        <f t="shared" si="5"/>
        <v/>
      </c>
    </row>
    <row r="77" spans="1:10" ht="16.5" customHeight="1" x14ac:dyDescent="0.25">
      <c r="A77" s="15">
        <v>70720</v>
      </c>
      <c r="B77" s="15" t="s">
        <v>114</v>
      </c>
      <c r="C77" s="8"/>
      <c r="D77" s="8"/>
      <c r="E77" s="8"/>
      <c r="F77" s="8"/>
      <c r="G77" s="8"/>
      <c r="H77" s="9">
        <f t="shared" si="7"/>
        <v>0</v>
      </c>
      <c r="I77" s="9">
        <f t="shared" si="4"/>
        <v>0</v>
      </c>
      <c r="J77" s="10" t="str">
        <f t="shared" si="5"/>
        <v/>
      </c>
    </row>
    <row r="78" spans="1:10" ht="16.5" customHeight="1" x14ac:dyDescent="0.25">
      <c r="A78" s="15">
        <v>71331</v>
      </c>
      <c r="B78" s="15" t="s">
        <v>115</v>
      </c>
      <c r="C78" s="8"/>
      <c r="D78" s="8"/>
      <c r="E78" s="8"/>
      <c r="F78" s="8"/>
      <c r="G78" s="8"/>
      <c r="H78" s="9">
        <f t="shared" si="7"/>
        <v>0</v>
      </c>
      <c r="I78" s="9">
        <f t="shared" si="4"/>
        <v>0</v>
      </c>
      <c r="J78" s="10" t="str">
        <f t="shared" si="5"/>
        <v/>
      </c>
    </row>
    <row r="79" spans="1:10" ht="16.5" customHeight="1" x14ac:dyDescent="0.25">
      <c r="A79" s="15">
        <v>71335</v>
      </c>
      <c r="B79" s="15" t="s">
        <v>116</v>
      </c>
      <c r="C79" s="8"/>
      <c r="D79" s="8"/>
      <c r="E79" s="8"/>
      <c r="F79" s="8"/>
      <c r="G79" s="8"/>
      <c r="H79" s="9">
        <f t="shared" si="7"/>
        <v>0</v>
      </c>
      <c r="I79" s="9">
        <f t="shared" si="4"/>
        <v>0</v>
      </c>
      <c r="J79" s="10" t="str">
        <f t="shared" ref="J79:J81" si="8">IF(I79=0,"",IF(C79=0,"",I79/C79))</f>
        <v/>
      </c>
    </row>
    <row r="80" spans="1:10" ht="16.5" customHeight="1" x14ac:dyDescent="0.25">
      <c r="A80" s="15">
        <v>72210</v>
      </c>
      <c r="B80" s="15" t="s">
        <v>117</v>
      </c>
      <c r="C80" s="8"/>
      <c r="D80" s="8"/>
      <c r="E80" s="8"/>
      <c r="F80" s="8"/>
      <c r="G80" s="8"/>
      <c r="H80" s="9">
        <f t="shared" si="7"/>
        <v>0</v>
      </c>
      <c r="I80" s="9">
        <f t="shared" si="4"/>
        <v>0</v>
      </c>
      <c r="J80" s="10" t="str">
        <f t="shared" si="8"/>
        <v/>
      </c>
    </row>
    <row r="81" spans="1:10" ht="16.5" customHeight="1" x14ac:dyDescent="0.25">
      <c r="A81" s="15">
        <v>72220</v>
      </c>
      <c r="B81" s="15" t="s">
        <v>118</v>
      </c>
      <c r="C81" s="8"/>
      <c r="D81" s="8"/>
      <c r="E81" s="8"/>
      <c r="F81" s="8"/>
      <c r="G81" s="8"/>
      <c r="H81" s="9">
        <f t="shared" si="7"/>
        <v>0</v>
      </c>
      <c r="I81" s="9">
        <f t="shared" si="4"/>
        <v>0</v>
      </c>
      <c r="J81" s="10" t="str">
        <f t="shared" si="8"/>
        <v/>
      </c>
    </row>
    <row r="82" spans="1:10" ht="16.5" customHeight="1" x14ac:dyDescent="0.25">
      <c r="A82" s="1"/>
      <c r="B82" s="11" t="s">
        <v>119</v>
      </c>
      <c r="C82" s="12">
        <f>SUM(C70:C81)</f>
        <v>0</v>
      </c>
      <c r="D82" s="12">
        <f t="shared" ref="D82:G82" si="9">SUM(D70:D81)</f>
        <v>0</v>
      </c>
      <c r="E82" s="12">
        <f t="shared" si="9"/>
        <v>0</v>
      </c>
      <c r="F82" s="12">
        <f t="shared" si="9"/>
        <v>0</v>
      </c>
      <c r="G82" s="12">
        <f t="shared" si="9"/>
        <v>0</v>
      </c>
      <c r="H82" s="13">
        <f>D82+E82+F82+G82</f>
        <v>0</v>
      </c>
      <c r="I82" s="13">
        <f>H82-C82</f>
        <v>0</v>
      </c>
      <c r="J82" s="14" t="str">
        <f>IF(I82=0,"",IF(C82=0,"",I82/C82))</f>
        <v/>
      </c>
    </row>
    <row r="83" spans="1:10" ht="16.5" customHeight="1" x14ac:dyDescent="0.25"/>
    <row r="84" spans="1:10" ht="16.5" customHeight="1" x14ac:dyDescent="0.25"/>
    <row r="85" spans="1:10" ht="16.5" customHeight="1" x14ac:dyDescent="0.25"/>
    <row r="86" spans="1:10" ht="16.5" customHeight="1" x14ac:dyDescent="0.25"/>
    <row r="87" spans="1:10" ht="16.5" customHeight="1" x14ac:dyDescent="0.25"/>
    <row r="88" spans="1:10" ht="16.5" customHeight="1" x14ac:dyDescent="0.25"/>
    <row r="89" spans="1:10" ht="16.5" customHeight="1" x14ac:dyDescent="0.25"/>
    <row r="90" spans="1:10" ht="16.5" customHeight="1" x14ac:dyDescent="0.25"/>
    <row r="91" spans="1:10" ht="16.5" customHeight="1" x14ac:dyDescent="0.25"/>
    <row r="92" spans="1:10" ht="16.5" customHeight="1" x14ac:dyDescent="0.25"/>
    <row r="93" spans="1:10" ht="16.5" customHeight="1" x14ac:dyDescent="0.25"/>
    <row r="94" spans="1:10" ht="16.5" customHeight="1" x14ac:dyDescent="0.25"/>
    <row r="95" spans="1:10" ht="16.5" customHeight="1" x14ac:dyDescent="0.25"/>
    <row r="96" spans="1:10" ht="16.5" customHeight="1" x14ac:dyDescent="0.25"/>
    <row r="97" ht="16.5" customHeight="1" x14ac:dyDescent="0.25"/>
    <row r="98" ht="16.5" customHeight="1" x14ac:dyDescent="0.25"/>
    <row r="99" ht="16.5" customHeight="1" x14ac:dyDescent="0.25"/>
    <row r="100" ht="16.5" customHeight="1" x14ac:dyDescent="0.25"/>
    <row r="101" ht="16.5" customHeight="1" x14ac:dyDescent="0.25"/>
    <row r="102" ht="16.5" customHeight="1" x14ac:dyDescent="0.25"/>
    <row r="103" ht="16.5" customHeight="1" x14ac:dyDescent="0.25"/>
    <row r="104" ht="16.5" customHeight="1" x14ac:dyDescent="0.25"/>
    <row r="105" ht="16.5" customHeight="1" x14ac:dyDescent="0.25"/>
    <row r="106" ht="16.5" customHeight="1" x14ac:dyDescent="0.25"/>
    <row r="107" ht="16.5" customHeight="1" x14ac:dyDescent="0.25"/>
    <row r="108" ht="16.5" customHeight="1" x14ac:dyDescent="0.25"/>
    <row r="109" ht="16.5" customHeight="1" x14ac:dyDescent="0.25"/>
    <row r="110" ht="16.5" customHeight="1" x14ac:dyDescent="0.25"/>
    <row r="111" ht="16.5" customHeight="1" x14ac:dyDescent="0.25"/>
    <row r="112" ht="16.5" customHeight="1" x14ac:dyDescent="0.25"/>
    <row r="113" ht="16.5" customHeight="1" x14ac:dyDescent="0.25"/>
    <row r="114" ht="16.5" customHeight="1" x14ac:dyDescent="0.25"/>
    <row r="115" ht="16.5" customHeight="1" x14ac:dyDescent="0.25"/>
    <row r="116" ht="16.5" customHeight="1" x14ac:dyDescent="0.25"/>
    <row r="117" ht="16.5" customHeight="1" x14ac:dyDescent="0.25"/>
    <row r="118" ht="16.5" customHeight="1" x14ac:dyDescent="0.25"/>
    <row r="119" ht="16.5" customHeight="1" x14ac:dyDescent="0.25"/>
    <row r="120" ht="16.5" customHeight="1" x14ac:dyDescent="0.25"/>
    <row r="121" ht="16.5" customHeight="1" x14ac:dyDescent="0.25"/>
    <row r="122" ht="16.5" customHeight="1" x14ac:dyDescent="0.25"/>
    <row r="123" ht="16.5" customHeight="1" x14ac:dyDescent="0.25"/>
    <row r="124" ht="16.5" customHeight="1" x14ac:dyDescent="0.25"/>
    <row r="125" ht="16.5" customHeight="1" x14ac:dyDescent="0.25"/>
    <row r="126" ht="16.5" customHeight="1" x14ac:dyDescent="0.25"/>
    <row r="127" ht="16.5" customHeight="1" x14ac:dyDescent="0.25"/>
    <row r="128" ht="16.5" customHeight="1" x14ac:dyDescent="0.25"/>
    <row r="129" ht="16.5" customHeight="1" x14ac:dyDescent="0.25"/>
    <row r="130" ht="16.5" customHeight="1" x14ac:dyDescent="0.25"/>
    <row r="131" ht="16.5" customHeight="1" x14ac:dyDescent="0.25"/>
    <row r="132" ht="16.5" customHeight="1" x14ac:dyDescent="0.25"/>
    <row r="133" ht="16.5" customHeight="1" x14ac:dyDescent="0.25"/>
    <row r="134" ht="16.5" customHeight="1" x14ac:dyDescent="0.25"/>
    <row r="135" ht="16.5" customHeight="1" x14ac:dyDescent="0.25"/>
    <row r="136" ht="16.5" customHeight="1" x14ac:dyDescent="0.25"/>
    <row r="137" ht="16.5" customHeight="1" x14ac:dyDescent="0.25"/>
    <row r="138" ht="16.5" customHeight="1" x14ac:dyDescent="0.25"/>
    <row r="139" ht="16.5" customHeight="1" x14ac:dyDescent="0.25"/>
    <row r="140" ht="16.5" customHeight="1" x14ac:dyDescent="0.25"/>
    <row r="141" ht="16.5" customHeight="1" x14ac:dyDescent="0.25"/>
    <row r="142" ht="16.5" customHeight="1" x14ac:dyDescent="0.25"/>
    <row r="143" ht="16.5" customHeight="1" x14ac:dyDescent="0.25"/>
    <row r="144" ht="16.5" customHeight="1" x14ac:dyDescent="0.25"/>
    <row r="145" ht="16.5" customHeight="1" x14ac:dyDescent="0.25"/>
  </sheetData>
  <sheetProtection sheet="1" objects="1" scenarios="1"/>
  <mergeCells count="1">
    <mergeCell ref="A1:J1"/>
  </mergeCells>
  <conditionalFormatting sqref="J3:J69">
    <cfRule type="expression" dxfId="80" priority="1">
      <formula>I3&lt;0</formula>
    </cfRule>
    <cfRule type="expression" dxfId="79" priority="2">
      <formula>I3&gt;0</formula>
    </cfRule>
  </conditionalFormatting>
  <conditionalFormatting sqref="J70:J82">
    <cfRule type="expression" dxfId="78" priority="3">
      <formula>I70&lt;0</formula>
    </cfRule>
    <cfRule type="expression" dxfId="77" priority="4">
      <formula>I70&gt;0</formula>
    </cfRule>
  </conditionalFormatting>
  <dataValidations count="1">
    <dataValidation type="decimal" errorStyle="warning" allowBlank="1" showInputMessage="1" showErrorMessage="1" errorTitle="Attention" error="Merci de saisir des chiffres." sqref="C70:G81 C10:G68" xr:uid="{0DAA3757-DC37-4420-80EF-0C90720925EF}">
      <formula1>-99999999999999</formula1>
      <formula2>99999999999999</formula2>
    </dataValidation>
  </dataValidations>
  <pageMargins left="0.7" right="0.7" top="0.75" bottom="0.75" header="0.3" footer="0.3"/>
  <pageSetup paperSize="9"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0DA48-EFB1-4B6C-84A7-F4C9FA235AED}">
  <sheetPr codeName="Feuil3">
    <tabColor theme="4"/>
    <pageSetUpPr fitToPage="1"/>
  </sheetPr>
  <dimension ref="A1:H54"/>
  <sheetViews>
    <sheetView showGridLines="0" tabSelected="1" zoomScale="90" zoomScaleNormal="90" workbookViewId="0">
      <pane ySplit="2" topLeftCell="A3" activePane="bottomLeft" state="frozen"/>
      <selection pane="bottomLeft" activeCell="H41" sqref="H41"/>
    </sheetView>
  </sheetViews>
  <sheetFormatPr baseColWidth="10" defaultColWidth="56" defaultRowHeight="15" x14ac:dyDescent="0.25"/>
  <cols>
    <col min="1" max="1" width="56.85546875" style="3" bestFit="1" customWidth="1"/>
    <col min="2" max="2" width="15.42578125" style="3" bestFit="1" customWidth="1"/>
    <col min="3" max="3" width="21.7109375" style="3" customWidth="1"/>
    <col min="4" max="4" width="18.28515625" style="3" bestFit="1" customWidth="1"/>
    <col min="5" max="5" width="18" style="3" bestFit="1" customWidth="1"/>
    <col min="6" max="6" width="21.7109375" style="3" customWidth="1"/>
    <col min="7" max="7" width="18" style="3" customWidth="1"/>
    <col min="8" max="8" width="62.28515625" style="3" customWidth="1"/>
    <col min="9" max="16384" width="56" style="3"/>
  </cols>
  <sheetData>
    <row r="1" spans="1:8" ht="57" customHeight="1" thickBot="1" x14ac:dyDescent="0.3">
      <c r="A1" s="160" t="s">
        <v>268</v>
      </c>
      <c r="B1" s="160"/>
      <c r="C1" s="160"/>
      <c r="D1" s="160"/>
      <c r="E1" s="160"/>
      <c r="F1" s="160"/>
      <c r="G1" s="160"/>
      <c r="H1" s="160"/>
    </row>
    <row r="2" spans="1:8" ht="36.950000000000003" customHeight="1" x14ac:dyDescent="0.25">
      <c r="A2" s="4" t="s">
        <v>120</v>
      </c>
      <c r="B2" s="4" t="s">
        <v>121</v>
      </c>
      <c r="C2" s="4" t="s">
        <v>122</v>
      </c>
      <c r="D2" s="4" t="s">
        <v>123</v>
      </c>
      <c r="E2" s="4" t="s">
        <v>124</v>
      </c>
      <c r="F2" s="125" t="s">
        <v>125</v>
      </c>
      <c r="G2" s="4" t="s">
        <v>126</v>
      </c>
      <c r="H2" s="4" t="s">
        <v>127</v>
      </c>
    </row>
    <row r="3" spans="1:8" ht="18" customHeight="1" thickBot="1" x14ac:dyDescent="0.3">
      <c r="A3" s="1"/>
      <c r="B3" s="1"/>
      <c r="C3" s="1"/>
      <c r="D3" s="1"/>
      <c r="E3" s="1"/>
      <c r="F3" s="1"/>
      <c r="G3" s="1"/>
      <c r="H3" s="1"/>
    </row>
    <row r="4" spans="1:8" ht="18" customHeight="1" thickBot="1" x14ac:dyDescent="0.3">
      <c r="A4" s="126" t="s">
        <v>128</v>
      </c>
      <c r="B4" s="127"/>
      <c r="C4" s="127"/>
      <c r="D4" s="127"/>
      <c r="E4" s="127"/>
      <c r="F4" s="127"/>
      <c r="G4" s="127"/>
      <c r="H4" s="128"/>
    </row>
    <row r="5" spans="1:8" ht="18" customHeight="1" x14ac:dyDescent="0.25">
      <c r="A5" s="129" t="s">
        <v>129</v>
      </c>
      <c r="B5" s="130" t="s">
        <v>130</v>
      </c>
      <c r="C5" s="26"/>
      <c r="D5" s="23"/>
      <c r="E5" s="23"/>
      <c r="F5" s="22"/>
      <c r="G5" s="37"/>
      <c r="H5" s="131"/>
    </row>
    <row r="6" spans="1:8" ht="18" customHeight="1" x14ac:dyDescent="0.25">
      <c r="A6" s="132" t="s">
        <v>131</v>
      </c>
      <c r="B6" s="133" t="s">
        <v>130</v>
      </c>
      <c r="C6" s="22"/>
      <c r="D6" s="24">
        <f>SUM('📊 Données comptables'!C82)</f>
        <v>0</v>
      </c>
      <c r="E6" s="24">
        <f>'📊 Données comptables'!H82</f>
        <v>0</v>
      </c>
      <c r="F6" s="22"/>
      <c r="G6" s="38"/>
      <c r="H6" s="134"/>
    </row>
    <row r="7" spans="1:8" ht="18" customHeight="1" x14ac:dyDescent="0.25">
      <c r="A7" s="132" t="s">
        <v>132</v>
      </c>
      <c r="B7" s="133" t="s">
        <v>130</v>
      </c>
      <c r="C7" s="22"/>
      <c r="D7" s="22"/>
      <c r="E7" s="22"/>
      <c r="F7" s="22"/>
      <c r="G7" s="38"/>
      <c r="H7" s="134"/>
    </row>
    <row r="8" spans="1:8" ht="18" customHeight="1" x14ac:dyDescent="0.25">
      <c r="A8" s="132" t="s">
        <v>133</v>
      </c>
      <c r="B8" s="133" t="s">
        <v>130</v>
      </c>
      <c r="C8" s="22"/>
      <c r="D8" s="22"/>
      <c r="E8" s="22"/>
      <c r="F8" s="22"/>
      <c r="G8" s="38"/>
      <c r="H8" s="134"/>
    </row>
    <row r="9" spans="1:8" ht="18" customHeight="1" x14ac:dyDescent="0.25">
      <c r="A9" s="132" t="s">
        <v>134</v>
      </c>
      <c r="B9" s="133" t="s">
        <v>130</v>
      </c>
      <c r="C9" s="22"/>
      <c r="D9" s="22"/>
      <c r="E9" s="22"/>
      <c r="F9" s="22"/>
      <c r="G9" s="38"/>
      <c r="H9" s="134"/>
    </row>
    <row r="10" spans="1:8" ht="18" customHeight="1" x14ac:dyDescent="0.25">
      <c r="A10" s="132" t="s">
        <v>135</v>
      </c>
      <c r="B10" s="133" t="s">
        <v>130</v>
      </c>
      <c r="C10" s="22"/>
      <c r="D10" s="22"/>
      <c r="E10" s="22"/>
      <c r="F10" s="22"/>
      <c r="G10" s="38"/>
      <c r="H10" s="134"/>
    </row>
    <row r="11" spans="1:8" ht="18" customHeight="1" x14ac:dyDescent="0.25">
      <c r="A11" s="132" t="s">
        <v>136</v>
      </c>
      <c r="B11" s="133" t="s">
        <v>130</v>
      </c>
      <c r="C11" s="22"/>
      <c r="D11" s="22"/>
      <c r="E11" s="22"/>
      <c r="F11" s="22"/>
      <c r="G11" s="38"/>
      <c r="H11" s="134"/>
    </row>
    <row r="12" spans="1:8" ht="18" customHeight="1" x14ac:dyDescent="0.25">
      <c r="A12" s="135"/>
      <c r="B12" s="1"/>
      <c r="C12" s="39"/>
      <c r="D12" s="39"/>
      <c r="E12" s="39"/>
      <c r="F12" s="39"/>
      <c r="G12" s="1"/>
      <c r="H12" s="136"/>
    </row>
    <row r="13" spans="1:8" ht="18" customHeight="1" x14ac:dyDescent="0.25">
      <c r="A13" s="132" t="s">
        <v>137</v>
      </c>
      <c r="B13" s="133" t="s">
        <v>130</v>
      </c>
      <c r="C13" s="22"/>
      <c r="D13" s="24">
        <f>'📊 Données comptables'!C3+'📊 Données comptables'!C4+'📊 Données comptables'!C6</f>
        <v>0</v>
      </c>
      <c r="E13" s="24">
        <f>'📊 Données comptables'!H3+'📊 Données comptables'!H4+'📊 Données comptables'!H6</f>
        <v>0</v>
      </c>
      <c r="F13" s="22"/>
      <c r="G13" s="38"/>
      <c r="H13" s="134"/>
    </row>
    <row r="14" spans="1:8" ht="18" customHeight="1" x14ac:dyDescent="0.25">
      <c r="A14" s="132" t="s">
        <v>138</v>
      </c>
      <c r="B14" s="133" t="s">
        <v>130</v>
      </c>
      <c r="C14" s="22"/>
      <c r="D14" s="24">
        <f>SUM('📊 Données comptables'!C58:C66)</f>
        <v>0</v>
      </c>
      <c r="E14" s="24">
        <f>SUM('📊 Données comptables'!H58:H66)</f>
        <v>0</v>
      </c>
      <c r="F14" s="22"/>
      <c r="G14" s="38"/>
      <c r="H14" s="134"/>
    </row>
    <row r="15" spans="1:8" ht="18" customHeight="1" x14ac:dyDescent="0.25">
      <c r="A15" s="132" t="s">
        <v>139</v>
      </c>
      <c r="B15" s="133" t="s">
        <v>130</v>
      </c>
      <c r="C15" s="22"/>
      <c r="D15" s="24">
        <f>SUM('📊 Données comptables'!C7:C48)+'📊 Données comptables'!C5</f>
        <v>0</v>
      </c>
      <c r="E15" s="24">
        <f>SUM('📊 Données comptables'!H7:H48)+'📊 Données comptables'!H5</f>
        <v>0</v>
      </c>
      <c r="F15" s="22"/>
      <c r="G15" s="38"/>
      <c r="H15" s="134"/>
    </row>
    <row r="16" spans="1:8" ht="18" customHeight="1" x14ac:dyDescent="0.25">
      <c r="A16" s="132" t="s">
        <v>140</v>
      </c>
      <c r="B16" s="133" t="s">
        <v>130</v>
      </c>
      <c r="C16" s="22"/>
      <c r="D16" s="24">
        <f>SUM('📊 Données comptables'!C49:C57)</f>
        <v>0</v>
      </c>
      <c r="E16" s="24">
        <f>SUM('📊 Données comptables'!H49:H57)</f>
        <v>0</v>
      </c>
      <c r="F16" s="22"/>
      <c r="G16" s="38"/>
      <c r="H16" s="134"/>
    </row>
    <row r="17" spans="1:8" ht="18" customHeight="1" x14ac:dyDescent="0.25">
      <c r="A17" s="132" t="s">
        <v>141</v>
      </c>
      <c r="B17" s="133" t="s">
        <v>130</v>
      </c>
      <c r="C17" s="22"/>
      <c r="D17" s="24">
        <f>'📊 Données comptables'!C67</f>
        <v>0</v>
      </c>
      <c r="E17" s="24">
        <f>'📊 Données comptables'!H67</f>
        <v>0</v>
      </c>
      <c r="F17" s="22"/>
      <c r="G17" s="38"/>
      <c r="H17" s="134"/>
    </row>
    <row r="18" spans="1:8" ht="18" customHeight="1" x14ac:dyDescent="0.25">
      <c r="A18" s="132" t="s">
        <v>142</v>
      </c>
      <c r="B18" s="133" t="s">
        <v>130</v>
      </c>
      <c r="C18" s="22"/>
      <c r="D18" s="24">
        <f>'📊 Données comptables'!C68</f>
        <v>0</v>
      </c>
      <c r="E18" s="24">
        <f>'📊 Données comptables'!H68</f>
        <v>0</v>
      </c>
      <c r="F18" s="22"/>
      <c r="G18" s="38"/>
      <c r="H18" s="134"/>
    </row>
    <row r="19" spans="1:8" ht="18" customHeight="1" x14ac:dyDescent="0.25">
      <c r="A19" s="132" t="s">
        <v>143</v>
      </c>
      <c r="B19" s="133" t="s">
        <v>130</v>
      </c>
      <c r="C19" s="22"/>
      <c r="D19" s="22"/>
      <c r="E19" s="22"/>
      <c r="F19" s="22"/>
      <c r="G19" s="40"/>
      <c r="H19" s="134"/>
    </row>
    <row r="20" spans="1:8" ht="18" customHeight="1" x14ac:dyDescent="0.25">
      <c r="A20" s="132" t="s">
        <v>144</v>
      </c>
      <c r="B20" s="133" t="s">
        <v>130</v>
      </c>
      <c r="C20" s="22"/>
      <c r="D20" s="22"/>
      <c r="E20" s="22"/>
      <c r="F20" s="22"/>
      <c r="G20" s="40"/>
      <c r="H20" s="134"/>
    </row>
    <row r="21" spans="1:8" ht="18" customHeight="1" x14ac:dyDescent="0.25">
      <c r="A21" s="135"/>
      <c r="B21" s="1"/>
      <c r="C21" s="39"/>
      <c r="D21" s="39"/>
      <c r="E21" s="39"/>
      <c r="F21" s="39"/>
      <c r="G21" s="1"/>
      <c r="H21" s="136"/>
    </row>
    <row r="22" spans="1:8" ht="18" customHeight="1" x14ac:dyDescent="0.25">
      <c r="A22" s="132" t="s">
        <v>145</v>
      </c>
      <c r="B22" s="133" t="s">
        <v>130</v>
      </c>
      <c r="C22" s="22"/>
      <c r="D22" s="22"/>
      <c r="E22" s="22"/>
      <c r="F22" s="22"/>
      <c r="G22" s="40"/>
      <c r="H22" s="134"/>
    </row>
    <row r="23" spans="1:8" ht="18" customHeight="1" x14ac:dyDescent="0.25">
      <c r="A23" s="135"/>
      <c r="B23" s="1"/>
      <c r="C23" s="39"/>
      <c r="D23" s="39"/>
      <c r="E23" s="39"/>
      <c r="F23" s="39"/>
      <c r="G23" s="1"/>
      <c r="H23" s="136"/>
    </row>
    <row r="24" spans="1:8" ht="18" customHeight="1" thickBot="1" x14ac:dyDescent="0.3">
      <c r="A24" s="137" t="s">
        <v>146</v>
      </c>
      <c r="B24" s="138" t="s">
        <v>130</v>
      </c>
      <c r="C24" s="25"/>
      <c r="D24" s="25"/>
      <c r="E24" s="25"/>
      <c r="F24" s="25"/>
      <c r="G24" s="41"/>
      <c r="H24" s="139"/>
    </row>
    <row r="25" spans="1:8" ht="18" customHeight="1" thickBot="1" x14ac:dyDescent="0.3">
      <c r="A25" s="1"/>
      <c r="B25" s="1"/>
      <c r="C25" s="1"/>
      <c r="D25" s="1"/>
      <c r="E25" s="1"/>
      <c r="F25" s="1"/>
      <c r="G25" s="1"/>
      <c r="H25" s="1"/>
    </row>
    <row r="26" spans="1:8" ht="18" customHeight="1" thickBot="1" x14ac:dyDescent="0.3">
      <c r="A26" s="126" t="s">
        <v>275</v>
      </c>
      <c r="B26" s="127"/>
      <c r="C26" s="127"/>
      <c r="D26" s="127"/>
      <c r="E26" s="127"/>
      <c r="F26" s="127"/>
      <c r="G26" s="127"/>
      <c r="H26" s="128"/>
    </row>
    <row r="27" spans="1:8" ht="18" customHeight="1" x14ac:dyDescent="0.25">
      <c r="A27" s="140" t="s">
        <v>147</v>
      </c>
      <c r="B27" s="141" t="s">
        <v>148</v>
      </c>
      <c r="C27" s="17"/>
      <c r="D27" s="17"/>
      <c r="E27" s="17"/>
      <c r="F27" s="22"/>
      <c r="G27" s="142"/>
      <c r="H27" s="143"/>
    </row>
    <row r="28" spans="1:8" ht="18" customHeight="1" x14ac:dyDescent="0.25">
      <c r="A28" s="132" t="s">
        <v>149</v>
      </c>
      <c r="B28" s="15" t="s">
        <v>148</v>
      </c>
      <c r="C28" s="18"/>
      <c r="D28" s="18"/>
      <c r="E28" s="18"/>
      <c r="F28" s="22"/>
      <c r="G28" s="144"/>
      <c r="H28" s="134"/>
    </row>
    <row r="29" spans="1:8" ht="18" customHeight="1" x14ac:dyDescent="0.25">
      <c r="A29" s="132" t="s">
        <v>150</v>
      </c>
      <c r="B29" s="145" t="s">
        <v>151</v>
      </c>
      <c r="C29" s="44"/>
      <c r="D29" s="44"/>
      <c r="E29" s="44"/>
      <c r="F29" s="44"/>
      <c r="G29" s="10"/>
      <c r="H29" s="134"/>
    </row>
    <row r="30" spans="1:8" ht="18" customHeight="1" x14ac:dyDescent="0.25">
      <c r="A30" s="132" t="s">
        <v>152</v>
      </c>
      <c r="B30" s="15" t="s">
        <v>151</v>
      </c>
      <c r="C30" s="44"/>
      <c r="D30" s="44"/>
      <c r="E30" s="44"/>
      <c r="F30" s="44"/>
      <c r="G30" s="10"/>
      <c r="H30" s="134"/>
    </row>
    <row r="31" spans="1:8" ht="18" customHeight="1" x14ac:dyDescent="0.25">
      <c r="A31" s="132" t="s">
        <v>153</v>
      </c>
      <c r="B31" s="15" t="s">
        <v>151</v>
      </c>
      <c r="C31" s="44"/>
      <c r="D31" s="44"/>
      <c r="E31" s="44"/>
      <c r="F31" s="44"/>
      <c r="G31" s="10"/>
      <c r="H31" s="134"/>
    </row>
    <row r="32" spans="1:8" ht="18" customHeight="1" x14ac:dyDescent="0.25">
      <c r="A32" s="132" t="s">
        <v>154</v>
      </c>
      <c r="B32" s="15" t="s">
        <v>151</v>
      </c>
      <c r="C32" s="44"/>
      <c r="D32" s="44"/>
      <c r="E32" s="44"/>
      <c r="F32" s="44"/>
      <c r="G32" s="10"/>
      <c r="H32" s="134"/>
    </row>
    <row r="33" spans="1:8" ht="18" customHeight="1" x14ac:dyDescent="0.25">
      <c r="A33" s="132" t="s">
        <v>155</v>
      </c>
      <c r="B33" s="15" t="s">
        <v>151</v>
      </c>
      <c r="C33" s="44"/>
      <c r="D33" s="44"/>
      <c r="E33" s="44"/>
      <c r="F33" s="44"/>
      <c r="G33" s="10"/>
      <c r="H33" s="134"/>
    </row>
    <row r="34" spans="1:8" ht="18" customHeight="1" x14ac:dyDescent="0.25">
      <c r="A34" s="132" t="s">
        <v>156</v>
      </c>
      <c r="B34" s="15" t="s">
        <v>151</v>
      </c>
      <c r="C34" s="44"/>
      <c r="D34" s="44"/>
      <c r="E34" s="44"/>
      <c r="F34" s="44"/>
      <c r="G34" s="10"/>
      <c r="H34" s="134"/>
    </row>
    <row r="35" spans="1:8" ht="18" customHeight="1" thickBot="1" x14ac:dyDescent="0.3">
      <c r="A35" s="137" t="s">
        <v>157</v>
      </c>
      <c r="B35" s="146" t="s">
        <v>130</v>
      </c>
      <c r="C35" s="19"/>
      <c r="D35" s="19"/>
      <c r="E35" s="19"/>
      <c r="F35" s="19"/>
      <c r="G35" s="147" t="s">
        <v>158</v>
      </c>
      <c r="H35" s="139" t="s">
        <v>159</v>
      </c>
    </row>
    <row r="36" spans="1:8" ht="18" customHeight="1" thickBot="1" x14ac:dyDescent="0.3">
      <c r="A36" s="148"/>
      <c r="B36" s="1"/>
      <c r="C36" s="149"/>
      <c r="D36" s="149"/>
      <c r="E36" s="149"/>
      <c r="F36" s="149"/>
      <c r="G36" s="149"/>
      <c r="H36" s="1"/>
    </row>
    <row r="37" spans="1:8" ht="18" customHeight="1" thickBot="1" x14ac:dyDescent="0.3">
      <c r="A37" s="150" t="s">
        <v>274</v>
      </c>
      <c r="B37" s="151"/>
      <c r="C37" s="151"/>
      <c r="D37" s="151"/>
      <c r="E37" s="151"/>
      <c r="F37" s="151"/>
      <c r="G37" s="151"/>
      <c r="H37" s="152"/>
    </row>
    <row r="38" spans="1:8" ht="18" customHeight="1" x14ac:dyDescent="0.25">
      <c r="A38" s="153" t="s">
        <v>160</v>
      </c>
      <c r="B38" s="154" t="s">
        <v>130</v>
      </c>
      <c r="C38" s="27" t="str">
        <f>IF(C27="","",C6/C27)</f>
        <v/>
      </c>
      <c r="D38" s="27" t="str">
        <f>IF(D27="","",D6/D27)</f>
        <v/>
      </c>
      <c r="E38" s="27" t="str">
        <f>IF(E27="","",E6/E27)</f>
        <v/>
      </c>
      <c r="F38" s="27" t="str">
        <f>IF(F27="","",F6/F27)</f>
        <v/>
      </c>
      <c r="G38" s="155" t="s">
        <v>158</v>
      </c>
      <c r="H38" s="156"/>
    </row>
    <row r="39" spans="1:8" ht="18" customHeight="1" x14ac:dyDescent="0.25">
      <c r="A39" s="132" t="s">
        <v>161</v>
      </c>
      <c r="B39" s="15" t="s">
        <v>130</v>
      </c>
      <c r="C39" s="22"/>
      <c r="D39" s="22"/>
      <c r="E39" s="22"/>
      <c r="F39" s="22"/>
      <c r="G39" s="144" t="s">
        <v>158</v>
      </c>
      <c r="H39" s="134"/>
    </row>
    <row r="40" spans="1:8" ht="18" customHeight="1" x14ac:dyDescent="0.25">
      <c r="A40" s="132" t="s">
        <v>162</v>
      </c>
      <c r="B40" s="15" t="s">
        <v>151</v>
      </c>
      <c r="C40" s="157" t="str">
        <f>IF(C6="","",((C6-C13)/C6))</f>
        <v/>
      </c>
      <c r="D40" s="157" t="str">
        <f>IF(D6=0,"",((D6-D13)/D6))</f>
        <v/>
      </c>
      <c r="E40" s="157" t="str">
        <f>IF(E6=0,"",((E6-E13)/E6))</f>
        <v/>
      </c>
      <c r="F40" s="157" t="str">
        <f t="shared" ref="F40" si="0">IF(F6="","",((F6-F13)/F6))</f>
        <v/>
      </c>
      <c r="G40" s="144" t="s">
        <v>158</v>
      </c>
      <c r="H40" s="134"/>
    </row>
    <row r="41" spans="1:8" ht="18" customHeight="1" x14ac:dyDescent="0.25">
      <c r="A41" s="132" t="s">
        <v>163</v>
      </c>
      <c r="B41" s="15" t="s">
        <v>164</v>
      </c>
      <c r="C41" s="18"/>
      <c r="D41" s="18"/>
      <c r="E41" s="18"/>
      <c r="F41" s="22"/>
      <c r="G41" s="144"/>
      <c r="H41" s="134" t="s">
        <v>165</v>
      </c>
    </row>
    <row r="42" spans="1:8" ht="18" customHeight="1" x14ac:dyDescent="0.25">
      <c r="A42" s="132" t="s">
        <v>166</v>
      </c>
      <c r="B42" s="15" t="s">
        <v>151</v>
      </c>
      <c r="C42" s="44"/>
      <c r="D42" s="44"/>
      <c r="E42" s="44"/>
      <c r="F42" s="44"/>
      <c r="G42" s="10"/>
      <c r="H42" s="134"/>
    </row>
    <row r="43" spans="1:8" ht="18" customHeight="1" x14ac:dyDescent="0.25">
      <c r="A43" s="132" t="s">
        <v>167</v>
      </c>
      <c r="B43" s="15" t="s">
        <v>151</v>
      </c>
      <c r="C43" s="44"/>
      <c r="D43" s="44"/>
      <c r="E43" s="44"/>
      <c r="F43" s="44"/>
      <c r="G43" s="10"/>
      <c r="H43" s="134"/>
    </row>
    <row r="44" spans="1:8" ht="18" customHeight="1" x14ac:dyDescent="0.25">
      <c r="A44" s="132" t="s">
        <v>168</v>
      </c>
      <c r="B44" s="15" t="s">
        <v>169</v>
      </c>
      <c r="C44" s="18"/>
      <c r="D44" s="18"/>
      <c r="E44" s="18"/>
      <c r="F44" s="22"/>
      <c r="G44" s="144"/>
      <c r="H44" s="134"/>
    </row>
    <row r="45" spans="1:8" ht="18" customHeight="1" x14ac:dyDescent="0.25">
      <c r="A45" s="132" t="s">
        <v>170</v>
      </c>
      <c r="B45" s="15" t="s">
        <v>171</v>
      </c>
      <c r="C45" s="18"/>
      <c r="D45" s="18"/>
      <c r="E45" s="18"/>
      <c r="F45" s="22"/>
      <c r="G45" s="144"/>
      <c r="H45" s="134"/>
    </row>
    <row r="46" spans="1:8" ht="18" customHeight="1" x14ac:dyDescent="0.25">
      <c r="A46" s="132" t="s">
        <v>172</v>
      </c>
      <c r="B46" s="15" t="s">
        <v>151</v>
      </c>
      <c r="C46" s="44"/>
      <c r="D46" s="44"/>
      <c r="E46" s="44"/>
      <c r="F46" s="44"/>
      <c r="G46" s="10"/>
      <c r="H46" s="134"/>
    </row>
    <row r="47" spans="1:8" ht="18" customHeight="1" thickBot="1" x14ac:dyDescent="0.3">
      <c r="A47" s="137" t="s">
        <v>173</v>
      </c>
      <c r="B47" s="146" t="s">
        <v>151</v>
      </c>
      <c r="C47" s="45"/>
      <c r="D47" s="45"/>
      <c r="E47" s="45"/>
      <c r="F47" s="45"/>
      <c r="G47" s="158"/>
      <c r="H47" s="139"/>
    </row>
    <row r="48" spans="1:8" ht="18" customHeight="1" thickBot="1" x14ac:dyDescent="0.3">
      <c r="A48" s="148"/>
      <c r="B48" s="1"/>
      <c r="C48" s="149"/>
      <c r="D48" s="149"/>
      <c r="E48" s="149"/>
      <c r="F48" s="149"/>
      <c r="G48" s="149"/>
      <c r="H48" s="1"/>
    </row>
    <row r="49" spans="1:8" ht="18" customHeight="1" thickBot="1" x14ac:dyDescent="0.3">
      <c r="A49" s="150" t="s">
        <v>273</v>
      </c>
      <c r="B49" s="151"/>
      <c r="C49" s="151"/>
      <c r="D49" s="151"/>
      <c r="E49" s="151"/>
      <c r="F49" s="151"/>
      <c r="G49" s="151"/>
      <c r="H49" s="152"/>
    </row>
    <row r="50" spans="1:8" ht="18" customHeight="1" x14ac:dyDescent="0.25">
      <c r="A50" s="153" t="s">
        <v>174</v>
      </c>
      <c r="B50" s="154" t="s">
        <v>175</v>
      </c>
      <c r="C50" s="20"/>
      <c r="D50" s="20"/>
      <c r="E50" s="20"/>
      <c r="F50" s="20"/>
      <c r="G50" s="42"/>
      <c r="H50" s="156"/>
    </row>
    <row r="51" spans="1:8" ht="18" customHeight="1" x14ac:dyDescent="0.25">
      <c r="A51" s="132" t="s">
        <v>176</v>
      </c>
      <c r="B51" s="15" t="s">
        <v>177</v>
      </c>
      <c r="C51" s="18"/>
      <c r="D51" s="18"/>
      <c r="E51" s="18"/>
      <c r="F51" s="22"/>
      <c r="G51" s="21"/>
      <c r="H51" s="134"/>
    </row>
    <row r="52" spans="1:8" ht="18" customHeight="1" x14ac:dyDescent="0.25">
      <c r="A52" s="132" t="s">
        <v>178</v>
      </c>
      <c r="B52" s="15" t="s">
        <v>179</v>
      </c>
      <c r="C52" s="18"/>
      <c r="D52" s="18"/>
      <c r="E52" s="18"/>
      <c r="F52" s="22"/>
      <c r="G52" s="21"/>
      <c r="H52" s="134"/>
    </row>
    <row r="53" spans="1:8" ht="18" customHeight="1" x14ac:dyDescent="0.25">
      <c r="A53" s="132" t="s">
        <v>180</v>
      </c>
      <c r="B53" s="15" t="s">
        <v>181</v>
      </c>
      <c r="C53" s="18"/>
      <c r="D53" s="18"/>
      <c r="E53" s="18"/>
      <c r="F53" s="22"/>
      <c r="G53" s="21"/>
      <c r="H53" s="134"/>
    </row>
    <row r="54" spans="1:8" ht="18" customHeight="1" thickBot="1" x14ac:dyDescent="0.3">
      <c r="A54" s="137" t="s">
        <v>182</v>
      </c>
      <c r="B54" s="146" t="s">
        <v>183</v>
      </c>
      <c r="C54" s="19"/>
      <c r="D54" s="19"/>
      <c r="E54" s="19"/>
      <c r="F54" s="19"/>
      <c r="G54" s="43"/>
      <c r="H54" s="139"/>
    </row>
  </sheetData>
  <sheetProtection selectLockedCells="1"/>
  <mergeCells count="1">
    <mergeCell ref="A1:H1"/>
  </mergeCells>
  <dataValidations count="2">
    <dataValidation type="decimal" errorStyle="warning" allowBlank="1" showInputMessage="1" showErrorMessage="1" errorTitle="Attention" error="Merci de saisir des chiffres." sqref="C39:F39 C41:F41 C50:F54 C44:F45" xr:uid="{071E335C-769C-4631-BC2D-1389892B1768}">
      <formula1>-99999999999999</formula1>
      <formula2>99999999999999</formula2>
    </dataValidation>
    <dataValidation type="decimal" errorStyle="warning" allowBlank="1" showInputMessage="1" showErrorMessage="1" errorTitle="Attention" error="Merci de saisir un pourcentage." sqref="C42:F43 C46:F47" xr:uid="{0CFC6111-160B-4581-867A-805CAF34DF3A}">
      <formula1>-100</formula1>
      <formula2>100</formula2>
    </dataValidation>
  </dataValidations>
  <pageMargins left="0.7" right="0.7" top="0.75" bottom="0.75" header="0.3" footer="0.3"/>
  <pageSetup paperSize="9"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871E-45DA-401E-9868-208140510AAA}">
  <sheetPr codeName="Production">
    <tabColor rgb="FFFBA7A9"/>
    <pageSetUpPr fitToPage="1"/>
  </sheetPr>
  <dimension ref="A1:M17"/>
  <sheetViews>
    <sheetView showGridLines="0" workbookViewId="0">
      <pane xSplit="1" ySplit="2" topLeftCell="B3" activePane="bottomRight" state="frozen"/>
      <selection pane="topRight"/>
      <selection pane="bottomLeft"/>
      <selection pane="bottomRight" activeCell="C4" sqref="C4"/>
    </sheetView>
  </sheetViews>
  <sheetFormatPr baseColWidth="10" defaultColWidth="11.42578125" defaultRowHeight="18" customHeight="1" x14ac:dyDescent="0.25"/>
  <cols>
    <col min="1" max="1" width="59.28515625" style="1" bestFit="1" customWidth="1"/>
    <col min="2" max="2" width="15.28515625" style="1" bestFit="1" customWidth="1"/>
    <col min="3" max="8" width="17" style="1" customWidth="1"/>
    <col min="9" max="13" width="11.42578125" style="1" hidden="1" customWidth="1"/>
    <col min="14" max="16384" width="11.42578125" style="1"/>
  </cols>
  <sheetData>
    <row r="1" spans="1:13" s="7" customFormat="1" ht="57" customHeight="1" thickBot="1" x14ac:dyDescent="0.3">
      <c r="A1" s="162" t="s">
        <v>271</v>
      </c>
      <c r="B1" s="162"/>
      <c r="C1" s="162"/>
      <c r="D1" s="162"/>
      <c r="E1" s="162"/>
      <c r="F1" s="162"/>
      <c r="G1" s="162"/>
      <c r="H1" s="162"/>
    </row>
    <row r="2" spans="1:13" ht="36.950000000000003" customHeight="1" x14ac:dyDescent="0.25">
      <c r="A2" s="4" t="s">
        <v>120</v>
      </c>
      <c r="B2" s="4" t="s">
        <v>121</v>
      </c>
      <c r="C2" s="4" t="s">
        <v>122</v>
      </c>
      <c r="D2" s="4" t="s">
        <v>123</v>
      </c>
      <c r="E2" s="4" t="s">
        <v>185</v>
      </c>
      <c r="F2" s="4" t="s">
        <v>186</v>
      </c>
      <c r="G2" s="4" t="s">
        <v>187</v>
      </c>
      <c r="H2" s="4" t="s">
        <v>125</v>
      </c>
    </row>
    <row r="3" spans="1:13" ht="20.25" customHeight="1" x14ac:dyDescent="0.25">
      <c r="A3" s="6" t="s">
        <v>204</v>
      </c>
      <c r="B3" s="16"/>
      <c r="K3" s="1" t="s">
        <v>205</v>
      </c>
      <c r="L3" s="1" t="s">
        <v>206</v>
      </c>
    </row>
    <row r="4" spans="1:13" ht="20.25" customHeight="1" x14ac:dyDescent="0.25">
      <c r="A4" s="31" t="s">
        <v>160</v>
      </c>
      <c r="B4" s="16" t="s">
        <v>130</v>
      </c>
      <c r="C4" s="28" t="str">
        <f>'🗄️BDD'!C38</f>
        <v/>
      </c>
      <c r="D4" s="28" t="str">
        <f>'🗄️BDD'!D38</f>
        <v/>
      </c>
      <c r="E4" s="28" t="str">
        <f>'🗄️BDD'!E38</f>
        <v/>
      </c>
      <c r="F4" s="57" t="str">
        <f>IF(E4="","",(E4-D4))</f>
        <v/>
      </c>
      <c r="G4" s="57" t="str">
        <f>IF(E4="","",(E4-C4))</f>
        <v/>
      </c>
      <c r="H4" s="28" t="str">
        <f>'🗄️BDD'!F38</f>
        <v/>
      </c>
      <c r="J4" s="111" t="str">
        <f>E4</f>
        <v/>
      </c>
      <c r="K4" s="113" t="str">
        <f>G4</f>
        <v/>
      </c>
      <c r="L4" s="113" t="str">
        <f>F4</f>
        <v/>
      </c>
      <c r="M4" s="116"/>
    </row>
    <row r="5" spans="1:13" ht="20.25" customHeight="1" x14ac:dyDescent="0.25">
      <c r="A5" s="31" t="s">
        <v>161</v>
      </c>
      <c r="B5" s="16" t="s">
        <v>130</v>
      </c>
      <c r="C5" s="28">
        <f>'🗄️BDD'!C39</f>
        <v>0</v>
      </c>
      <c r="D5" s="28">
        <f>'🗄️BDD'!D39</f>
        <v>0</v>
      </c>
      <c r="E5" s="28">
        <f>'🗄️BDD'!E39</f>
        <v>0</v>
      </c>
      <c r="F5" s="57">
        <f t="shared" ref="F5:F9" si="0">E5-D5</f>
        <v>0</v>
      </c>
      <c r="G5" s="57">
        <f t="shared" ref="G5:G9" si="1">E5-C5</f>
        <v>0</v>
      </c>
      <c r="H5" s="28">
        <f>'🗄️BDD'!F39</f>
        <v>0</v>
      </c>
      <c r="J5" s="112" t="e">
        <f>E4/D4</f>
        <v>#VALUE!</v>
      </c>
      <c r="K5" s="119"/>
      <c r="L5" s="112"/>
      <c r="M5" s="112"/>
    </row>
    <row r="6" spans="1:13" ht="20.25" customHeight="1" x14ac:dyDescent="0.25">
      <c r="A6" s="31" t="s">
        <v>162</v>
      </c>
      <c r="B6" s="16" t="s">
        <v>151</v>
      </c>
      <c r="C6" s="29" t="str">
        <f>'🗄️BDD'!C40</f>
        <v/>
      </c>
      <c r="D6" s="29" t="str">
        <f>'🗄️BDD'!D40</f>
        <v/>
      </c>
      <c r="E6" s="29" t="str">
        <f>'🗄️BDD'!E40</f>
        <v/>
      </c>
      <c r="F6" s="55" t="str">
        <f>IF(E6="","",(E6-D6))</f>
        <v/>
      </c>
      <c r="G6" s="55" t="str">
        <f>IF(E6="","",(E6-C6))</f>
        <v/>
      </c>
      <c r="H6" s="29" t="str">
        <f>'🗄️BDD'!F40</f>
        <v/>
      </c>
      <c r="J6" s="111" t="str">
        <f>H4</f>
        <v/>
      </c>
      <c r="K6" s="113" t="e">
        <f>J6-J4</f>
        <v>#VALUE!</v>
      </c>
      <c r="L6" s="112"/>
      <c r="M6" s="112"/>
    </row>
    <row r="7" spans="1:13" ht="20.25" customHeight="1" x14ac:dyDescent="0.25">
      <c r="A7" s="31" t="s">
        <v>163</v>
      </c>
      <c r="B7" s="16" t="s">
        <v>164</v>
      </c>
      <c r="C7" s="28">
        <f>'🗄️BDD'!C41</f>
        <v>0</v>
      </c>
      <c r="D7" s="28">
        <f>'🗄️BDD'!D41</f>
        <v>0</v>
      </c>
      <c r="E7" s="28">
        <f>'🗄️BDD'!E41</f>
        <v>0</v>
      </c>
      <c r="F7" s="86">
        <f t="shared" si="0"/>
        <v>0</v>
      </c>
      <c r="G7" s="86">
        <f t="shared" si="1"/>
        <v>0</v>
      </c>
      <c r="H7" s="28">
        <f>'🗄️BDD'!F41</f>
        <v>0</v>
      </c>
      <c r="J7" s="119">
        <f>H7</f>
        <v>0</v>
      </c>
      <c r="K7" s="120">
        <f>H7-E7</f>
        <v>0</v>
      </c>
      <c r="L7" s="112"/>
      <c r="M7" s="112"/>
    </row>
    <row r="8" spans="1:13" ht="20.25" customHeight="1" x14ac:dyDescent="0.25">
      <c r="A8" s="31" t="s">
        <v>166</v>
      </c>
      <c r="B8" s="16" t="s">
        <v>151</v>
      </c>
      <c r="C8" s="29">
        <f>'🗄️BDD'!C42</f>
        <v>0</v>
      </c>
      <c r="D8" s="29">
        <f>'🗄️BDD'!D42</f>
        <v>0</v>
      </c>
      <c r="E8" s="29">
        <f>'🗄️BDD'!E42</f>
        <v>0</v>
      </c>
      <c r="F8" s="55">
        <f t="shared" si="0"/>
        <v>0</v>
      </c>
      <c r="G8" s="55">
        <f t="shared" si="1"/>
        <v>0</v>
      </c>
      <c r="H8" s="29">
        <f>'🗄️BDD'!F42</f>
        <v>0</v>
      </c>
      <c r="J8" s="112"/>
      <c r="K8" s="120"/>
      <c r="L8" s="112"/>
      <c r="M8" s="112"/>
    </row>
    <row r="9" spans="1:13" ht="20.25" customHeight="1" x14ac:dyDescent="0.25">
      <c r="A9" s="31" t="s">
        <v>167</v>
      </c>
      <c r="B9" s="16" t="s">
        <v>151</v>
      </c>
      <c r="C9" s="29">
        <f>'🗄️BDD'!C43</f>
        <v>0</v>
      </c>
      <c r="D9" s="29">
        <f>'🗄️BDD'!D43</f>
        <v>0</v>
      </c>
      <c r="E9" s="29">
        <f>'🗄️BDD'!E43</f>
        <v>0</v>
      </c>
      <c r="F9" s="55">
        <f t="shared" si="0"/>
        <v>0</v>
      </c>
      <c r="G9" s="55">
        <f t="shared" si="1"/>
        <v>0</v>
      </c>
      <c r="H9" s="29">
        <f>'🗄️BDD'!F43</f>
        <v>0</v>
      </c>
      <c r="J9" s="112"/>
      <c r="K9" s="112"/>
      <c r="L9" s="112"/>
      <c r="M9" s="112"/>
    </row>
    <row r="10" spans="1:13" ht="20.25" customHeight="1" x14ac:dyDescent="0.25">
      <c r="A10" s="6" t="s">
        <v>207</v>
      </c>
      <c r="B10" s="16"/>
      <c r="J10" s="112"/>
      <c r="K10" s="112"/>
      <c r="L10" s="112"/>
      <c r="M10" s="121">
        <f>H11</f>
        <v>0</v>
      </c>
    </row>
    <row r="11" spans="1:13" ht="20.25" customHeight="1" x14ac:dyDescent="0.25">
      <c r="A11" s="31" t="s">
        <v>208</v>
      </c>
      <c r="B11" s="16" t="s">
        <v>169</v>
      </c>
      <c r="C11" s="28">
        <f>'🗄️BDD'!C44</f>
        <v>0</v>
      </c>
      <c r="D11" s="28">
        <f>'🗄️BDD'!D44</f>
        <v>0</v>
      </c>
      <c r="E11" s="28">
        <f>'🗄️BDD'!E44</f>
        <v>0</v>
      </c>
      <c r="F11" s="86">
        <f>E11-D11</f>
        <v>0</v>
      </c>
      <c r="G11" s="86">
        <f>E11-C11</f>
        <v>0</v>
      </c>
      <c r="H11" s="28">
        <f>'🗄️BDD'!F44</f>
        <v>0</v>
      </c>
      <c r="J11" s="112"/>
      <c r="K11" s="121">
        <f>E11</f>
        <v>0</v>
      </c>
      <c r="L11" s="120">
        <f>E11-C11</f>
        <v>0</v>
      </c>
      <c r="M11" s="120">
        <f>H11-E11</f>
        <v>0</v>
      </c>
    </row>
    <row r="12" spans="1:13" ht="20.25" customHeight="1" x14ac:dyDescent="0.25">
      <c r="A12" s="31" t="s">
        <v>209</v>
      </c>
      <c r="B12" s="16" t="s">
        <v>171</v>
      </c>
      <c r="C12" s="28">
        <f>'🗄️BDD'!C45</f>
        <v>0</v>
      </c>
      <c r="D12" s="28">
        <f>'🗄️BDD'!D45</f>
        <v>0</v>
      </c>
      <c r="E12" s="28">
        <f>'🗄️BDD'!E45</f>
        <v>0</v>
      </c>
      <c r="F12" s="86">
        <f t="shared" ref="F12:F14" si="2">E12-D12</f>
        <v>0</v>
      </c>
      <c r="G12" s="86">
        <f t="shared" ref="G12:G14" si="3">E12-C12</f>
        <v>0</v>
      </c>
      <c r="H12" s="28">
        <f>'🗄️BDD'!F45</f>
        <v>0</v>
      </c>
      <c r="J12" s="112"/>
      <c r="K12" s="120">
        <f>E12</f>
        <v>0</v>
      </c>
      <c r="L12" s="120">
        <f>H12-E12</f>
        <v>0</v>
      </c>
      <c r="M12" s="112"/>
    </row>
    <row r="13" spans="1:13" ht="18" customHeight="1" x14ac:dyDescent="0.25">
      <c r="A13" s="31" t="s">
        <v>210</v>
      </c>
      <c r="B13" s="16" t="s">
        <v>151</v>
      </c>
      <c r="C13" s="29">
        <f>'🗄️BDD'!C46</f>
        <v>0</v>
      </c>
      <c r="D13" s="29">
        <f>'🗄️BDD'!D46</f>
        <v>0</v>
      </c>
      <c r="E13" s="29">
        <f>'🗄️BDD'!E46</f>
        <v>0</v>
      </c>
      <c r="F13" s="55">
        <f t="shared" si="2"/>
        <v>0</v>
      </c>
      <c r="G13" s="55">
        <f t="shared" si="3"/>
        <v>0</v>
      </c>
      <c r="H13" s="29">
        <f>'🗄️BDD'!F46</f>
        <v>0</v>
      </c>
      <c r="J13" s="117">
        <f>E13</f>
        <v>0</v>
      </c>
      <c r="K13" s="117">
        <f>100%-J13</f>
        <v>1</v>
      </c>
      <c r="L13" s="112"/>
      <c r="M13" s="112"/>
    </row>
    <row r="14" spans="1:13" ht="18" customHeight="1" x14ac:dyDescent="0.25">
      <c r="A14" s="31" t="s">
        <v>173</v>
      </c>
      <c r="B14" s="16" t="s">
        <v>151</v>
      </c>
      <c r="C14" s="29">
        <f>'🗄️BDD'!C47</f>
        <v>0</v>
      </c>
      <c r="D14" s="29">
        <f>'🗄️BDD'!D47</f>
        <v>0</v>
      </c>
      <c r="E14" s="29">
        <f>'🗄️BDD'!E47</f>
        <v>0</v>
      </c>
      <c r="F14" s="55">
        <f t="shared" si="2"/>
        <v>0</v>
      </c>
      <c r="G14" s="55">
        <f t="shared" si="3"/>
        <v>0</v>
      </c>
      <c r="H14" s="29">
        <f>'🗄️BDD'!F47</f>
        <v>0</v>
      </c>
      <c r="J14" s="117">
        <f>E14</f>
        <v>0</v>
      </c>
      <c r="K14" s="117">
        <f>1-J14</f>
        <v>1</v>
      </c>
      <c r="L14" s="112"/>
      <c r="M14" s="112"/>
    </row>
    <row r="15" spans="1:13" ht="18" customHeight="1" x14ac:dyDescent="0.25">
      <c r="B15" s="16"/>
    </row>
    <row r="16" spans="1:13" ht="18" customHeight="1" x14ac:dyDescent="0.25">
      <c r="B16" s="16"/>
    </row>
    <row r="17" spans="2:2" ht="18" customHeight="1" x14ac:dyDescent="0.25">
      <c r="B17" s="16"/>
    </row>
  </sheetData>
  <sheetProtection sheet="1" selectLockedCells="1" selectUnlockedCells="1"/>
  <mergeCells count="1">
    <mergeCell ref="A1:H1"/>
  </mergeCells>
  <conditionalFormatting sqref="K4:L4">
    <cfRule type="cellIs" dxfId="48" priority="27" operator="lessThan">
      <formula>0</formula>
    </cfRule>
    <cfRule type="cellIs" dxfId="47" priority="28" operator="greaterThanOrEqual">
      <formula>0</formula>
    </cfRule>
  </conditionalFormatting>
  <conditionalFormatting sqref="K6">
    <cfRule type="cellIs" dxfId="46" priority="25" operator="lessThan">
      <formula>0</formula>
    </cfRule>
    <cfRule type="cellIs" dxfId="45" priority="26" operator="greaterThanOrEqual">
      <formula>0</formula>
    </cfRule>
  </conditionalFormatting>
  <conditionalFormatting sqref="F4:G4">
    <cfRule type="cellIs" dxfId="44" priority="21" operator="lessThan">
      <formula>0</formula>
    </cfRule>
    <cfRule type="cellIs" dxfId="43" priority="22" operator="greaterThanOrEqual">
      <formula>0</formula>
    </cfRule>
  </conditionalFormatting>
  <conditionalFormatting sqref="F5:G5">
    <cfRule type="cellIs" dxfId="42" priority="19" operator="greaterThan">
      <formula>0</formula>
    </cfRule>
    <cfRule type="cellIs" dxfId="41" priority="20" operator="lessThanOrEqual">
      <formula>0</formula>
    </cfRule>
  </conditionalFormatting>
  <conditionalFormatting sqref="F6:G6">
    <cfRule type="cellIs" dxfId="40" priority="17" operator="lessThan">
      <formula>0</formula>
    </cfRule>
    <cfRule type="cellIs" dxfId="39" priority="18" operator="greaterThanOrEqual">
      <formula>0</formula>
    </cfRule>
  </conditionalFormatting>
  <conditionalFormatting sqref="F7:G7">
    <cfRule type="cellIs" dxfId="38" priority="15" operator="lessThan">
      <formula>0</formula>
    </cfRule>
    <cfRule type="cellIs" dxfId="37" priority="16" operator="greaterThanOrEqual">
      <formula>0</formula>
    </cfRule>
  </conditionalFormatting>
  <conditionalFormatting sqref="F11:G12">
    <cfRule type="cellIs" dxfId="36" priority="13" operator="lessThan">
      <formula>0</formula>
    </cfRule>
    <cfRule type="cellIs" dxfId="35" priority="14" operator="greaterThanOrEqual">
      <formula>0</formula>
    </cfRule>
  </conditionalFormatting>
  <conditionalFormatting sqref="F13:G14">
    <cfRule type="cellIs" dxfId="34" priority="11" operator="lessThan">
      <formula>0</formula>
    </cfRule>
    <cfRule type="cellIs" dxfId="33" priority="12" operator="greaterThanOrEqual">
      <formula>0</formula>
    </cfRule>
  </conditionalFormatting>
  <conditionalFormatting sqref="F8:G9">
    <cfRule type="cellIs" dxfId="32" priority="9" operator="lessThan">
      <formula>0</formula>
    </cfRule>
    <cfRule type="cellIs" dxfId="31" priority="10" operator="greaterThanOrEqual">
      <formula>0</formula>
    </cfRule>
  </conditionalFormatting>
  <conditionalFormatting sqref="K12">
    <cfRule type="cellIs" dxfId="30" priority="7" operator="lessThan">
      <formula>0</formula>
    </cfRule>
    <cfRule type="cellIs" dxfId="29" priority="8" operator="greaterThanOrEqual">
      <formula>0</formula>
    </cfRule>
  </conditionalFormatting>
  <conditionalFormatting sqref="K7:K8">
    <cfRule type="cellIs" dxfId="28" priority="5" operator="lessThan">
      <formula>0</formula>
    </cfRule>
    <cfRule type="cellIs" dxfId="27" priority="6" operator="greaterThanOrEqual">
      <formula>0</formula>
    </cfRule>
  </conditionalFormatting>
  <conditionalFormatting sqref="L12">
    <cfRule type="cellIs" dxfId="26" priority="3" operator="lessThan">
      <formula>0</formula>
    </cfRule>
    <cfRule type="cellIs" dxfId="25" priority="4" operator="greaterThanOrEqual">
      <formula>0</formula>
    </cfRule>
  </conditionalFormatting>
  <conditionalFormatting sqref="L11:M11">
    <cfRule type="cellIs" dxfId="24" priority="1" operator="lessThan">
      <formula>0</formula>
    </cfRule>
    <cfRule type="cellIs" dxfId="23" priority="2" operator="greaterThanOrEqual">
      <formula>0</formula>
    </cfRule>
  </conditionalFormatting>
  <pageMargins left="0.7" right="0.7" top="0.75" bottom="0.75" header="0.3" footer="0.3"/>
  <pageSetup paperSize="9"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inances">
    <tabColor theme="3" tint="0.749992370372631"/>
    <pageSetUpPr fitToPage="1"/>
  </sheetPr>
  <dimension ref="A1:M43"/>
  <sheetViews>
    <sheetView showGridLines="0" zoomScale="90" zoomScaleNormal="90" workbookViewId="0">
      <pane xSplit="1" ySplit="2" topLeftCell="B3" activePane="bottomRight" state="frozen"/>
      <selection pane="topRight"/>
      <selection pane="bottomLeft"/>
      <selection pane="bottomRight" activeCell="O26" sqref="O26"/>
    </sheetView>
  </sheetViews>
  <sheetFormatPr baseColWidth="10" defaultColWidth="11.42578125" defaultRowHeight="18" customHeight="1" x14ac:dyDescent="0.25"/>
  <cols>
    <col min="1" max="1" width="53.85546875" style="1" bestFit="1" customWidth="1"/>
    <col min="2" max="2" width="8.5703125" style="16" customWidth="1"/>
    <col min="3" max="3" width="16.140625" style="16" customWidth="1"/>
    <col min="4" max="8" width="16.140625" style="1" customWidth="1"/>
    <col min="9" max="9" width="11.42578125" style="1" hidden="1" customWidth="1"/>
    <col min="10" max="10" width="23.140625" style="1" hidden="1" customWidth="1"/>
    <col min="11" max="13" width="11.42578125" style="1" hidden="1" customWidth="1"/>
    <col min="14" max="16384" width="11.42578125" style="1"/>
  </cols>
  <sheetData>
    <row r="1" spans="1:13" ht="57" customHeight="1" thickBot="1" x14ac:dyDescent="0.3">
      <c r="A1" s="161" t="s">
        <v>269</v>
      </c>
      <c r="B1" s="161"/>
      <c r="C1" s="161"/>
      <c r="D1" s="161"/>
      <c r="E1" s="161"/>
      <c r="F1" s="161"/>
      <c r="G1" s="161"/>
      <c r="H1" s="161"/>
    </row>
    <row r="2" spans="1:13" ht="36.950000000000003" customHeight="1" x14ac:dyDescent="0.25">
      <c r="A2" s="4" t="s">
        <v>120</v>
      </c>
      <c r="B2" s="4" t="s">
        <v>121</v>
      </c>
      <c r="C2" s="4" t="s">
        <v>122</v>
      </c>
      <c r="D2" s="4" t="s">
        <v>184</v>
      </c>
      <c r="E2" s="4" t="s">
        <v>185</v>
      </c>
      <c r="F2" s="4" t="s">
        <v>186</v>
      </c>
      <c r="G2" s="4" t="s">
        <v>187</v>
      </c>
      <c r="H2" s="4" t="s">
        <v>125</v>
      </c>
    </row>
    <row r="3" spans="1:13" ht="18" customHeight="1" x14ac:dyDescent="0.25">
      <c r="A3" s="6" t="s">
        <v>188</v>
      </c>
      <c r="D3" s="16"/>
      <c r="E3" s="16"/>
      <c r="F3" s="16"/>
      <c r="G3" s="16"/>
      <c r="H3" s="16"/>
    </row>
    <row r="4" spans="1:13" ht="18" customHeight="1" x14ac:dyDescent="0.25">
      <c r="A4" s="30" t="s">
        <v>189</v>
      </c>
      <c r="B4" s="16" t="s">
        <v>130</v>
      </c>
      <c r="C4" s="33">
        <f>SUM(C5:C7)</f>
        <v>0</v>
      </c>
      <c r="D4" s="33">
        <f t="shared" ref="D4:E4" si="0">SUM(D5:D7)</f>
        <v>0</v>
      </c>
      <c r="E4" s="33">
        <f t="shared" si="0"/>
        <v>0</v>
      </c>
      <c r="F4" s="58">
        <f t="shared" ref="F4:F12" si="1">E4-D4</f>
        <v>0</v>
      </c>
      <c r="G4" s="58">
        <f t="shared" ref="G4:G12" si="2">E4-C4</f>
        <v>0</v>
      </c>
      <c r="H4" s="33">
        <f>SUM(H5:H12)</f>
        <v>0</v>
      </c>
    </row>
    <row r="5" spans="1:13" ht="18" customHeight="1" x14ac:dyDescent="0.25">
      <c r="A5" s="31" t="s">
        <v>129</v>
      </c>
      <c r="B5" s="16" t="s">
        <v>130</v>
      </c>
      <c r="C5" s="34">
        <f>'🗄️BDD'!C5</f>
        <v>0</v>
      </c>
      <c r="D5" s="34">
        <f>'🗄️BDD'!D5</f>
        <v>0</v>
      </c>
      <c r="E5" s="34">
        <f>'🗄️BDD'!E5</f>
        <v>0</v>
      </c>
      <c r="F5" s="57">
        <f t="shared" si="1"/>
        <v>0</v>
      </c>
      <c r="G5" s="57">
        <f t="shared" si="2"/>
        <v>0</v>
      </c>
      <c r="H5" s="34">
        <f>'🗄️BDD'!F5</f>
        <v>0</v>
      </c>
      <c r="I5" s="118" t="e">
        <f>(E6-D6)/D6</f>
        <v>#DIV/0!</v>
      </c>
      <c r="J5" s="1" t="s">
        <v>129</v>
      </c>
      <c r="K5" s="111">
        <f>E5</f>
        <v>0</v>
      </c>
      <c r="L5" s="112"/>
      <c r="M5" s="112"/>
    </row>
    <row r="6" spans="1:13" ht="18" customHeight="1" x14ac:dyDescent="0.25">
      <c r="A6" s="31" t="s">
        <v>131</v>
      </c>
      <c r="B6" s="16" t="s">
        <v>130</v>
      </c>
      <c r="C6" s="34">
        <f>'🗄️BDD'!C6</f>
        <v>0</v>
      </c>
      <c r="D6" s="34">
        <f>'🗄️BDD'!D6</f>
        <v>0</v>
      </c>
      <c r="E6" s="34">
        <f>'🗄️BDD'!E6</f>
        <v>0</v>
      </c>
      <c r="F6" s="57">
        <f t="shared" si="1"/>
        <v>0</v>
      </c>
      <c r="G6" s="57">
        <f t="shared" si="2"/>
        <v>0</v>
      </c>
      <c r="H6" s="34">
        <f>'🗄️BDD'!F6</f>
        <v>0</v>
      </c>
      <c r="I6" s="50"/>
      <c r="J6" s="1" t="s">
        <v>131</v>
      </c>
      <c r="K6" s="111">
        <f>E6</f>
        <v>0</v>
      </c>
      <c r="L6" s="111">
        <f>H6</f>
        <v>0</v>
      </c>
      <c r="M6" s="113">
        <f>L6-K6</f>
        <v>0</v>
      </c>
    </row>
    <row r="7" spans="1:13" ht="18" customHeight="1" x14ac:dyDescent="0.25">
      <c r="A7" s="30" t="s">
        <v>277</v>
      </c>
      <c r="B7" s="16" t="s">
        <v>130</v>
      </c>
      <c r="C7" s="122">
        <f>SUM(C8:C12)</f>
        <v>0</v>
      </c>
      <c r="D7" s="122">
        <f t="shared" ref="D7:H7" si="3">SUM(D8:D12)</f>
        <v>0</v>
      </c>
      <c r="E7" s="122">
        <f t="shared" si="3"/>
        <v>0</v>
      </c>
      <c r="F7" s="123">
        <f>E7-D7</f>
        <v>0</v>
      </c>
      <c r="G7" s="123">
        <f>E7-C7</f>
        <v>0</v>
      </c>
      <c r="H7" s="122">
        <f t="shared" si="3"/>
        <v>0</v>
      </c>
      <c r="I7" s="50"/>
      <c r="K7" s="111"/>
      <c r="L7" s="111"/>
      <c r="M7" s="116"/>
    </row>
    <row r="8" spans="1:13" ht="18" customHeight="1" x14ac:dyDescent="0.25">
      <c r="A8" s="31" t="s">
        <v>132</v>
      </c>
      <c r="B8" s="16" t="s">
        <v>130</v>
      </c>
      <c r="C8" s="34">
        <f>'🗄️BDD'!C7</f>
        <v>0</v>
      </c>
      <c r="D8" s="34">
        <f>'🗄️BDD'!D7</f>
        <v>0</v>
      </c>
      <c r="E8" s="34">
        <f>'🗄️BDD'!E7</f>
        <v>0</v>
      </c>
      <c r="F8" s="57">
        <f t="shared" si="1"/>
        <v>0</v>
      </c>
      <c r="G8" s="57">
        <f t="shared" si="2"/>
        <v>0</v>
      </c>
      <c r="H8" s="34">
        <f>'🗄️BDD'!F7</f>
        <v>0</v>
      </c>
      <c r="J8" s="1" t="s">
        <v>190</v>
      </c>
      <c r="K8" s="111">
        <f>SUM(E8:E12)</f>
        <v>0</v>
      </c>
      <c r="L8" s="112"/>
      <c r="M8" s="112"/>
    </row>
    <row r="9" spans="1:13" ht="18" customHeight="1" x14ac:dyDescent="0.25">
      <c r="A9" s="31" t="s">
        <v>133</v>
      </c>
      <c r="B9" s="16" t="s">
        <v>130</v>
      </c>
      <c r="C9" s="34">
        <f>'🗄️BDD'!C8</f>
        <v>0</v>
      </c>
      <c r="D9" s="34">
        <f>'🗄️BDD'!D8</f>
        <v>0</v>
      </c>
      <c r="E9" s="34">
        <f>'🗄️BDD'!E8</f>
        <v>0</v>
      </c>
      <c r="F9" s="57">
        <f t="shared" si="1"/>
        <v>0</v>
      </c>
      <c r="G9" s="57">
        <f t="shared" si="2"/>
        <v>0</v>
      </c>
      <c r="H9" s="34">
        <f>'🗄️BDD'!F8</f>
        <v>0</v>
      </c>
      <c r="I9" s="52"/>
      <c r="K9" s="111">
        <f>SUM(K5:K8)</f>
        <v>0</v>
      </c>
      <c r="L9" s="112"/>
      <c r="M9" s="112"/>
    </row>
    <row r="10" spans="1:13" ht="18" customHeight="1" x14ac:dyDescent="0.25">
      <c r="A10" s="31" t="s">
        <v>134</v>
      </c>
      <c r="B10" s="16" t="s">
        <v>130</v>
      </c>
      <c r="C10" s="34">
        <f>'🗄️BDD'!C9</f>
        <v>0</v>
      </c>
      <c r="D10" s="34">
        <f>'🗄️BDD'!D9</f>
        <v>0</v>
      </c>
      <c r="E10" s="34">
        <f>'🗄️BDD'!E9</f>
        <v>0</v>
      </c>
      <c r="F10" s="57">
        <f t="shared" si="1"/>
        <v>0</v>
      </c>
      <c r="G10" s="57">
        <f t="shared" si="2"/>
        <v>0</v>
      </c>
      <c r="H10" s="34">
        <f>'🗄️BDD'!F9</f>
        <v>0</v>
      </c>
      <c r="J10" s="1" t="s">
        <v>191</v>
      </c>
      <c r="K10" s="114" t="e">
        <f>(E4-C4)/C4</f>
        <v>#DIV/0!</v>
      </c>
      <c r="L10" s="112"/>
      <c r="M10" s="112"/>
    </row>
    <row r="11" spans="1:13" ht="18" customHeight="1" x14ac:dyDescent="0.25">
      <c r="A11" s="31" t="s">
        <v>135</v>
      </c>
      <c r="C11" s="34">
        <f>'🗄️BDD'!C10</f>
        <v>0</v>
      </c>
      <c r="D11" s="34">
        <f>'🗄️BDD'!D10</f>
        <v>0</v>
      </c>
      <c r="E11" s="34">
        <f>'🗄️BDD'!E10</f>
        <v>0</v>
      </c>
      <c r="F11" s="57">
        <f t="shared" si="1"/>
        <v>0</v>
      </c>
      <c r="G11" s="57">
        <f t="shared" si="2"/>
        <v>0</v>
      </c>
      <c r="H11" s="34">
        <f>'🗄️BDD'!F10</f>
        <v>0</v>
      </c>
      <c r="J11" s="1" t="s">
        <v>192</v>
      </c>
      <c r="K11" s="114" t="e">
        <f>(E14-C14)/C14</f>
        <v>#DIV/0!</v>
      </c>
      <c r="L11" s="112"/>
      <c r="M11" s="112"/>
    </row>
    <row r="12" spans="1:13" ht="18" customHeight="1" x14ac:dyDescent="0.25">
      <c r="A12" s="31" t="s">
        <v>136</v>
      </c>
      <c r="B12" s="16" t="s">
        <v>130</v>
      </c>
      <c r="C12" s="34">
        <f>'🗄️BDD'!C11</f>
        <v>0</v>
      </c>
      <c r="D12" s="34">
        <f>'🗄️BDD'!D11</f>
        <v>0</v>
      </c>
      <c r="E12" s="34">
        <f>'🗄️BDD'!E11</f>
        <v>0</v>
      </c>
      <c r="F12" s="57">
        <f t="shared" si="1"/>
        <v>0</v>
      </c>
      <c r="G12" s="57">
        <f t="shared" si="2"/>
        <v>0</v>
      </c>
      <c r="H12" s="34">
        <f>'🗄️BDD'!F11</f>
        <v>0</v>
      </c>
      <c r="J12" s="1" t="s">
        <v>193</v>
      </c>
      <c r="K12" s="115" t="e">
        <f>K10-K11</f>
        <v>#DIV/0!</v>
      </c>
      <c r="L12" s="112"/>
      <c r="M12" s="112"/>
    </row>
    <row r="13" spans="1:13" ht="18" customHeight="1" x14ac:dyDescent="0.25">
      <c r="A13" s="6" t="s">
        <v>194</v>
      </c>
      <c r="C13" s="35"/>
      <c r="D13" s="35"/>
      <c r="E13" s="35"/>
      <c r="F13" s="35"/>
      <c r="G13" s="35"/>
      <c r="H13" s="35"/>
      <c r="K13" s="112"/>
      <c r="L13" s="112"/>
      <c r="M13" s="112"/>
    </row>
    <row r="14" spans="1:13" ht="18" customHeight="1" x14ac:dyDescent="0.25">
      <c r="A14" s="30" t="s">
        <v>195</v>
      </c>
      <c r="B14" s="16" t="s">
        <v>130</v>
      </c>
      <c r="C14" s="33">
        <f>SUM(C15:C22)</f>
        <v>0</v>
      </c>
      <c r="D14" s="33">
        <f t="shared" ref="D14:E14" si="4">SUM(D15:D22)</f>
        <v>0</v>
      </c>
      <c r="E14" s="33">
        <f t="shared" si="4"/>
        <v>0</v>
      </c>
      <c r="F14" s="58">
        <f t="shared" ref="F14:F20" si="5">E14-D14</f>
        <v>0</v>
      </c>
      <c r="G14" s="58">
        <f t="shared" ref="G14:G20" si="6">E14-C14</f>
        <v>0</v>
      </c>
      <c r="H14" s="33">
        <f>SUM(H15:H22)</f>
        <v>0</v>
      </c>
      <c r="J14" s="1" t="s">
        <v>196</v>
      </c>
      <c r="K14" s="116">
        <f>E24</f>
        <v>0</v>
      </c>
      <c r="L14" s="113">
        <f t="shared" ref="L14:M14" si="7">F24</f>
        <v>0</v>
      </c>
      <c r="M14" s="113">
        <f t="shared" si="7"/>
        <v>0</v>
      </c>
    </row>
    <row r="15" spans="1:13" ht="18" customHeight="1" x14ac:dyDescent="0.25">
      <c r="A15" s="31" t="s">
        <v>137</v>
      </c>
      <c r="B15" s="16" t="s">
        <v>130</v>
      </c>
      <c r="C15" s="34">
        <f>'🗄️BDD'!C13</f>
        <v>0</v>
      </c>
      <c r="D15" s="34">
        <f>'🗄️BDD'!D13</f>
        <v>0</v>
      </c>
      <c r="E15" s="34">
        <f>'🗄️BDD'!E13</f>
        <v>0</v>
      </c>
      <c r="F15" s="57">
        <f t="shared" si="5"/>
        <v>0</v>
      </c>
      <c r="G15" s="57">
        <f t="shared" si="6"/>
        <v>0</v>
      </c>
      <c r="H15" s="34">
        <f>'🗄️BDD'!F13</f>
        <v>0</v>
      </c>
      <c r="K15" s="111">
        <f>H24</f>
        <v>0</v>
      </c>
      <c r="L15" s="113">
        <f>K15-K14</f>
        <v>0</v>
      </c>
      <c r="M15" s="112"/>
    </row>
    <row r="16" spans="1:13" ht="18" customHeight="1" x14ac:dyDescent="0.25">
      <c r="A16" s="31" t="s">
        <v>138</v>
      </c>
      <c r="B16" s="16" t="s">
        <v>130</v>
      </c>
      <c r="C16" s="34">
        <f>'🗄️BDD'!C14</f>
        <v>0</v>
      </c>
      <c r="D16" s="34">
        <f>'🗄️BDD'!D14</f>
        <v>0</v>
      </c>
      <c r="E16" s="34">
        <f>'🗄️BDD'!E14</f>
        <v>0</v>
      </c>
      <c r="F16" s="57">
        <f t="shared" si="5"/>
        <v>0</v>
      </c>
      <c r="G16" s="57">
        <f t="shared" si="6"/>
        <v>0</v>
      </c>
      <c r="H16" s="34">
        <f>'🗄️BDD'!F14</f>
        <v>0</v>
      </c>
      <c r="K16" s="112"/>
      <c r="L16" s="112"/>
      <c r="M16" s="112"/>
    </row>
    <row r="17" spans="1:13" ht="18" customHeight="1" x14ac:dyDescent="0.25">
      <c r="A17" s="31" t="s">
        <v>139</v>
      </c>
      <c r="B17" s="16" t="s">
        <v>130</v>
      </c>
      <c r="C17" s="34">
        <f>'🗄️BDD'!C15</f>
        <v>0</v>
      </c>
      <c r="D17" s="34">
        <f>'🗄️BDD'!D15</f>
        <v>0</v>
      </c>
      <c r="E17" s="34">
        <f>'🗄️BDD'!E15</f>
        <v>0</v>
      </c>
      <c r="F17" s="57">
        <f t="shared" si="5"/>
        <v>0</v>
      </c>
      <c r="G17" s="57">
        <f t="shared" si="6"/>
        <v>0</v>
      </c>
      <c r="H17" s="34">
        <f>'🗄️BDD'!F15</f>
        <v>0</v>
      </c>
      <c r="K17" s="117">
        <f>E26</f>
        <v>0</v>
      </c>
      <c r="L17" s="112"/>
      <c r="M17" s="112"/>
    </row>
    <row r="18" spans="1:13" ht="18" customHeight="1" x14ac:dyDescent="0.25">
      <c r="A18" s="31" t="s">
        <v>140</v>
      </c>
      <c r="B18" s="16" t="s">
        <v>130</v>
      </c>
      <c r="C18" s="34">
        <f>'🗄️BDD'!C16</f>
        <v>0</v>
      </c>
      <c r="D18" s="34">
        <f>'🗄️BDD'!D16</f>
        <v>0</v>
      </c>
      <c r="E18" s="34">
        <f>'🗄️BDD'!E16</f>
        <v>0</v>
      </c>
      <c r="F18" s="57">
        <f t="shared" si="5"/>
        <v>0</v>
      </c>
      <c r="G18" s="57">
        <f t="shared" si="6"/>
        <v>0</v>
      </c>
      <c r="H18" s="34">
        <f>'🗄️BDD'!F16</f>
        <v>0</v>
      </c>
      <c r="K18" s="117">
        <f>H26</f>
        <v>0</v>
      </c>
      <c r="L18" s="118">
        <f>K18-K17</f>
        <v>0</v>
      </c>
      <c r="M18" s="112"/>
    </row>
    <row r="19" spans="1:13" ht="18" customHeight="1" x14ac:dyDescent="0.25">
      <c r="A19" s="31" t="s">
        <v>141</v>
      </c>
      <c r="B19" s="16" t="s">
        <v>130</v>
      </c>
      <c r="C19" s="34">
        <f>'🗄️BDD'!C17</f>
        <v>0</v>
      </c>
      <c r="D19" s="34">
        <f>'🗄️BDD'!D17</f>
        <v>0</v>
      </c>
      <c r="E19" s="34">
        <f>'🗄️BDD'!E17</f>
        <v>0</v>
      </c>
      <c r="F19" s="57">
        <f t="shared" si="5"/>
        <v>0</v>
      </c>
      <c r="G19" s="57">
        <f t="shared" si="6"/>
        <v>0</v>
      </c>
      <c r="H19" s="34">
        <f>'🗄️BDD'!F17</f>
        <v>0</v>
      </c>
      <c r="K19" s="112"/>
      <c r="L19" s="112"/>
      <c r="M19" s="112"/>
    </row>
    <row r="20" spans="1:13" ht="18" customHeight="1" x14ac:dyDescent="0.25">
      <c r="A20" s="31" t="s">
        <v>143</v>
      </c>
      <c r="B20" s="16" t="s">
        <v>130</v>
      </c>
      <c r="C20" s="34">
        <f>'🗄️BDD'!C19</f>
        <v>0</v>
      </c>
      <c r="D20" s="34">
        <f>'🗄️BDD'!D19</f>
        <v>0</v>
      </c>
      <c r="E20" s="34">
        <f>'🗄️BDD'!E19</f>
        <v>0</v>
      </c>
      <c r="F20" s="57">
        <f t="shared" si="5"/>
        <v>0</v>
      </c>
      <c r="G20" s="57">
        <f t="shared" si="6"/>
        <v>0</v>
      </c>
      <c r="H20" s="34">
        <f>'🗄️BDD'!F19</f>
        <v>0</v>
      </c>
      <c r="K20" s="112"/>
      <c r="L20" s="112"/>
      <c r="M20" s="112"/>
    </row>
    <row r="21" spans="1:13" ht="18" customHeight="1" x14ac:dyDescent="0.25">
      <c r="A21" s="31" t="s">
        <v>142</v>
      </c>
      <c r="B21" s="16" t="s">
        <v>130</v>
      </c>
      <c r="C21" s="34">
        <f>'🗄️BDD'!C18</f>
        <v>0</v>
      </c>
      <c r="D21" s="34">
        <f>'🗄️BDD'!D18</f>
        <v>0</v>
      </c>
      <c r="E21" s="34">
        <f>'🗄️BDD'!E18</f>
        <v>0</v>
      </c>
      <c r="F21" s="57">
        <f>E21-D21</f>
        <v>0</v>
      </c>
      <c r="G21" s="57">
        <f>E21-C21</f>
        <v>0</v>
      </c>
      <c r="H21" s="34">
        <f>'🗄️BDD'!F18</f>
        <v>0</v>
      </c>
      <c r="K21" s="112"/>
      <c r="L21" s="112"/>
      <c r="M21" s="112"/>
    </row>
    <row r="22" spans="1:13" ht="18" customHeight="1" x14ac:dyDescent="0.25">
      <c r="A22" s="31" t="s">
        <v>144</v>
      </c>
      <c r="B22" s="16" t="s">
        <v>130</v>
      </c>
      <c r="C22" s="34">
        <f>'🗄️BDD'!C20</f>
        <v>0</v>
      </c>
      <c r="D22" s="34">
        <f>'🗄️BDD'!D20</f>
        <v>0</v>
      </c>
      <c r="E22" s="34">
        <f>'🗄️BDD'!E20</f>
        <v>0</v>
      </c>
      <c r="F22" s="57">
        <f t="shared" ref="F22" si="8">E22-D22</f>
        <v>0</v>
      </c>
      <c r="G22" s="57">
        <f t="shared" ref="G22" si="9">E22-C22</f>
        <v>0</v>
      </c>
      <c r="H22" s="34">
        <f>'🗄️BDD'!F20</f>
        <v>0</v>
      </c>
      <c r="K22" s="112"/>
      <c r="L22" s="112"/>
      <c r="M22" s="112"/>
    </row>
    <row r="23" spans="1:13" ht="18" customHeight="1" x14ac:dyDescent="0.25">
      <c r="A23" s="6" t="s">
        <v>197</v>
      </c>
      <c r="C23" s="35"/>
      <c r="D23" s="35"/>
      <c r="E23" s="35"/>
      <c r="F23" s="35"/>
      <c r="G23" s="35"/>
      <c r="H23" s="35"/>
      <c r="K23" s="112"/>
      <c r="L23" s="112"/>
      <c r="M23" s="112"/>
    </row>
    <row r="24" spans="1:13" ht="18" customHeight="1" x14ac:dyDescent="0.25">
      <c r="A24" s="30" t="s">
        <v>198</v>
      </c>
      <c r="B24" s="16" t="s">
        <v>130</v>
      </c>
      <c r="C24" s="36">
        <f>C4-C14</f>
        <v>0</v>
      </c>
      <c r="D24" s="36">
        <f>D4-D14</f>
        <v>0</v>
      </c>
      <c r="E24" s="36">
        <f>E4-E14</f>
        <v>0</v>
      </c>
      <c r="F24" s="57">
        <f>E24-D24</f>
        <v>0</v>
      </c>
      <c r="G24" s="57">
        <f>E24-C24</f>
        <v>0</v>
      </c>
      <c r="H24" s="72">
        <f>H4-H14</f>
        <v>0</v>
      </c>
      <c r="K24" s="112"/>
      <c r="L24" s="112"/>
      <c r="M24" s="112"/>
    </row>
    <row r="25" spans="1:13" ht="18" customHeight="1" x14ac:dyDescent="0.25">
      <c r="A25" s="1" t="s">
        <v>199</v>
      </c>
      <c r="B25" s="16" t="s">
        <v>130</v>
      </c>
      <c r="C25" s="49">
        <f>'🗄️BDD'!C24</f>
        <v>0</v>
      </c>
      <c r="D25" s="49">
        <f>'🗄️BDD'!D24</f>
        <v>0</v>
      </c>
      <c r="E25" s="54">
        <f>'🗄️BDD'!E24</f>
        <v>0</v>
      </c>
      <c r="F25" s="57">
        <f>E25-D25</f>
        <v>0</v>
      </c>
      <c r="G25" s="57">
        <f>E25-C25</f>
        <v>0</v>
      </c>
      <c r="H25" s="73">
        <f>'🗄️BDD'!F24</f>
        <v>0</v>
      </c>
      <c r="K25" s="124" t="str">
        <f>TEXT(H25, "# ##0 €")</f>
        <v>0 €</v>
      </c>
      <c r="L25" s="113">
        <f>K25-E25</f>
        <v>0</v>
      </c>
      <c r="M25" s="112"/>
    </row>
    <row r="26" spans="1:13" ht="18" customHeight="1" x14ac:dyDescent="0.25">
      <c r="A26" s="1" t="s">
        <v>200</v>
      </c>
      <c r="B26" s="16" t="s">
        <v>151</v>
      </c>
      <c r="C26" s="29">
        <f>IF(C6=0,0,((C6-C15)/C6))</f>
        <v>0</v>
      </c>
      <c r="D26" s="29">
        <f t="shared" ref="D26:E26" si="10">IF(D6=0,0,((D6-D15)/D6))</f>
        <v>0</v>
      </c>
      <c r="E26" s="29">
        <f t="shared" si="10"/>
        <v>0</v>
      </c>
      <c r="F26" s="55">
        <f>E26-D26</f>
        <v>0</v>
      </c>
      <c r="G26" s="55">
        <f>E26-C26</f>
        <v>0</v>
      </c>
      <c r="H26" s="29">
        <f>IF(H6=0,0,((H6-H15)/H6))</f>
        <v>0</v>
      </c>
    </row>
    <row r="27" spans="1:13" ht="18" customHeight="1" x14ac:dyDescent="0.25">
      <c r="A27" s="1" t="s">
        <v>201</v>
      </c>
      <c r="B27" s="16" t="s">
        <v>151</v>
      </c>
      <c r="C27" s="29">
        <f>IF(C16=0,0,(C16/SUM(C16:C18)))</f>
        <v>0</v>
      </c>
      <c r="D27" s="29">
        <f t="shared" ref="D27:E27" si="11">IF(D16=0,0,(D16/SUM(D16:D18)))</f>
        <v>0</v>
      </c>
      <c r="E27" s="29">
        <f t="shared" si="11"/>
        <v>0</v>
      </c>
      <c r="F27" s="55">
        <f>E27-D27</f>
        <v>0</v>
      </c>
      <c r="G27" s="55">
        <f>E27-C27</f>
        <v>0</v>
      </c>
      <c r="H27" s="29">
        <f t="shared" ref="H27" si="12">IF(H16=0,0,(H16/SUM(H16:H18)))</f>
        <v>0</v>
      </c>
    </row>
    <row r="28" spans="1:13" ht="18" customHeight="1" x14ac:dyDescent="0.25">
      <c r="A28" s="1" t="s">
        <v>202</v>
      </c>
      <c r="B28" s="16" t="s">
        <v>203</v>
      </c>
      <c r="C28" s="34">
        <f>IF(C14=0,0,((C25/((C14-C15-C20)/365))))</f>
        <v>0</v>
      </c>
      <c r="D28" s="34">
        <f t="shared" ref="D28:E28" si="13">IF(D14=0,0,((D25/((D14-D15-D20)/365))))</f>
        <v>0</v>
      </c>
      <c r="E28" s="34">
        <f t="shared" si="13"/>
        <v>0</v>
      </c>
      <c r="F28" s="57">
        <f>E28-D28</f>
        <v>0</v>
      </c>
      <c r="G28" s="57">
        <f>E28-C28</f>
        <v>0</v>
      </c>
      <c r="H28" s="34">
        <f t="shared" ref="H28" si="14">IF(H14=0,0,((H25/((H14-H15-H20)/365))))</f>
        <v>0</v>
      </c>
      <c r="L28" s="94"/>
    </row>
    <row r="29" spans="1:13" ht="20.100000000000001" customHeight="1" x14ac:dyDescent="0.25">
      <c r="D29" s="32"/>
      <c r="J29" s="94"/>
    </row>
    <row r="30" spans="1:13" ht="20.100000000000001" customHeight="1" x14ac:dyDescent="0.35">
      <c r="D30" s="32"/>
      <c r="L30" s="93"/>
    </row>
    <row r="31" spans="1:13" ht="20.100000000000001" customHeight="1" x14ac:dyDescent="0.25">
      <c r="D31" s="32"/>
      <c r="G31" s="92"/>
      <c r="J31" s="94"/>
    </row>
    <row r="32" spans="1:13" ht="20.100000000000001" customHeight="1" x14ac:dyDescent="0.25">
      <c r="D32" s="32"/>
      <c r="E32" s="92"/>
      <c r="J32" s="94"/>
      <c r="L32" s="95"/>
    </row>
    <row r="33" spans="4:12" ht="20.100000000000001" customHeight="1" x14ac:dyDescent="0.25">
      <c r="D33" s="32"/>
      <c r="J33" s="94"/>
    </row>
    <row r="34" spans="4:12" ht="20.100000000000001" customHeight="1" x14ac:dyDescent="0.25">
      <c r="D34" s="32"/>
      <c r="J34" s="94"/>
    </row>
    <row r="35" spans="4:12" ht="20.100000000000001" customHeight="1" x14ac:dyDescent="0.25">
      <c r="D35" s="32"/>
      <c r="J35" s="94"/>
      <c r="L35" s="94"/>
    </row>
    <row r="36" spans="4:12" ht="20.100000000000001" customHeight="1" x14ac:dyDescent="0.25">
      <c r="D36" s="32"/>
      <c r="J36" s="94"/>
    </row>
    <row r="37" spans="4:12" ht="20.100000000000001" customHeight="1" x14ac:dyDescent="0.25">
      <c r="D37" s="32"/>
      <c r="J37" s="94"/>
    </row>
    <row r="38" spans="4:12" ht="20.100000000000001" customHeight="1" x14ac:dyDescent="0.25">
      <c r="D38" s="32"/>
      <c r="J38" s="94"/>
    </row>
    <row r="39" spans="4:12" ht="20.100000000000001" customHeight="1" x14ac:dyDescent="0.25">
      <c r="D39" s="32"/>
      <c r="J39" s="94"/>
    </row>
    <row r="40" spans="4:12" ht="20.100000000000001" customHeight="1" x14ac:dyDescent="0.25">
      <c r="D40" s="32"/>
      <c r="J40" s="94"/>
    </row>
    <row r="41" spans="4:12" ht="18" customHeight="1" x14ac:dyDescent="0.25">
      <c r="D41" s="32"/>
      <c r="J41" s="94"/>
    </row>
    <row r="42" spans="4:12" ht="18" customHeight="1" x14ac:dyDescent="0.25">
      <c r="D42" s="32"/>
    </row>
    <row r="43" spans="4:12" ht="18" customHeight="1" x14ac:dyDescent="0.25">
      <c r="D43" s="32"/>
    </row>
  </sheetData>
  <sheetProtection sheet="1" selectLockedCells="1" selectUnlockedCells="1"/>
  <mergeCells count="1">
    <mergeCell ref="A1:H1"/>
  </mergeCells>
  <conditionalFormatting sqref="K12">
    <cfRule type="cellIs" dxfId="76" priority="29" operator="lessThan">
      <formula>0</formula>
    </cfRule>
    <cfRule type="cellIs" dxfId="75" priority="30" operator="greaterThanOrEqual">
      <formula>0</formula>
    </cfRule>
  </conditionalFormatting>
  <conditionalFormatting sqref="F27:G27">
    <cfRule type="cellIs" dxfId="74" priority="27" operator="greaterThan">
      <formula>0</formula>
    </cfRule>
    <cfRule type="cellIs" dxfId="73" priority="28" operator="lessThanOrEqual">
      <formula>0</formula>
    </cfRule>
  </conditionalFormatting>
  <conditionalFormatting sqref="F24:G25">
    <cfRule type="cellIs" dxfId="72" priority="25" operator="lessThan">
      <formula>0</formula>
    </cfRule>
    <cfRule type="cellIs" dxfId="71" priority="26" operator="greaterThanOrEqual">
      <formula>0</formula>
    </cfRule>
  </conditionalFormatting>
  <conditionalFormatting sqref="F28:G28">
    <cfRule type="cellIs" dxfId="70" priority="23" operator="lessThan">
      <formula>0</formula>
    </cfRule>
    <cfRule type="cellIs" dxfId="69" priority="24" operator="greaterThanOrEqual">
      <formula>0</formula>
    </cfRule>
  </conditionalFormatting>
  <conditionalFormatting sqref="F14:G22">
    <cfRule type="cellIs" dxfId="68" priority="21" operator="greaterThan">
      <formula>0</formula>
    </cfRule>
    <cfRule type="cellIs" dxfId="67" priority="22" operator="lessThanOrEqual">
      <formula>0</formula>
    </cfRule>
  </conditionalFormatting>
  <conditionalFormatting sqref="F4:G6 F8:G12">
    <cfRule type="cellIs" dxfId="66" priority="19" operator="lessThan">
      <formula>0</formula>
    </cfRule>
    <cfRule type="cellIs" dxfId="65" priority="20" operator="greaterThanOrEqual">
      <formula>0</formula>
    </cfRule>
  </conditionalFormatting>
  <conditionalFormatting sqref="L14:M14">
    <cfRule type="cellIs" dxfId="64" priority="17" operator="lessThan">
      <formula>0</formula>
    </cfRule>
    <cfRule type="cellIs" dxfId="63" priority="18" operator="greaterThanOrEqual">
      <formula>0</formula>
    </cfRule>
  </conditionalFormatting>
  <conditionalFormatting sqref="F26:G26">
    <cfRule type="cellIs" dxfId="62" priority="15" operator="lessThan">
      <formula>0</formula>
    </cfRule>
    <cfRule type="cellIs" dxfId="61" priority="16" operator="greaterThanOrEqual">
      <formula>0</formula>
    </cfRule>
  </conditionalFormatting>
  <conditionalFormatting sqref="M6:M7">
    <cfRule type="cellIs" dxfId="60" priority="13" operator="lessThan">
      <formula>0</formula>
    </cfRule>
    <cfRule type="cellIs" dxfId="59" priority="14" operator="greaterThanOrEqual">
      <formula>0</formula>
    </cfRule>
  </conditionalFormatting>
  <conditionalFormatting sqref="L15">
    <cfRule type="cellIs" dxfId="58" priority="11" operator="lessThan">
      <formula>0</formula>
    </cfRule>
    <cfRule type="cellIs" dxfId="57" priority="12" operator="greaterThanOrEqual">
      <formula>0</formula>
    </cfRule>
  </conditionalFormatting>
  <conditionalFormatting sqref="L18">
    <cfRule type="cellIs" dxfId="56" priority="9" operator="lessThan">
      <formula>0</formula>
    </cfRule>
    <cfRule type="cellIs" dxfId="55" priority="10" operator="greaterThanOrEqual">
      <formula>0</formula>
    </cfRule>
  </conditionalFormatting>
  <conditionalFormatting sqref="L25">
    <cfRule type="cellIs" dxfId="54" priority="7" operator="lessThan">
      <formula>0</formula>
    </cfRule>
    <cfRule type="cellIs" dxfId="53" priority="8" operator="greaterThanOrEqual">
      <formula>0</formula>
    </cfRule>
  </conditionalFormatting>
  <conditionalFormatting sqref="I5">
    <cfRule type="cellIs" dxfId="52" priority="3" operator="lessThan">
      <formula>0</formula>
    </cfRule>
    <cfRule type="cellIs" dxfId="51" priority="4" operator="greaterThanOrEqual">
      <formula>0</formula>
    </cfRule>
  </conditionalFormatting>
  <conditionalFormatting sqref="F7:G7">
    <cfRule type="cellIs" dxfId="50" priority="1" operator="lessThan">
      <formula>0</formula>
    </cfRule>
    <cfRule type="cellIs" dxfId="49" priority="2" operator="greaterThanOrEqual">
      <formula>0</formula>
    </cfRule>
  </conditionalFormatting>
  <pageMargins left="0.7" right="0.7" top="0.75" bottom="0.75" header="0.3" footer="0.3"/>
  <pageSetup paperSize="9"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79CC-BCA9-4CB5-80FE-CD72A46509FA}">
  <sheetPr codeName="Pedagogie">
    <tabColor rgb="FFB5D8C6"/>
    <pageSetUpPr fitToPage="1"/>
  </sheetPr>
  <dimension ref="A1:M13"/>
  <sheetViews>
    <sheetView showGridLines="0" workbookViewId="0">
      <pane xSplit="1" ySplit="2" topLeftCell="B3" activePane="bottomRight" state="frozen"/>
      <selection pane="topRight"/>
      <selection pane="bottomLeft"/>
      <selection pane="bottomRight" sqref="A1:H1"/>
    </sheetView>
  </sheetViews>
  <sheetFormatPr baseColWidth="10" defaultColWidth="11.42578125" defaultRowHeight="18" customHeight="1" x14ac:dyDescent="0.25"/>
  <cols>
    <col min="1" max="1" width="63.42578125" style="2" bestFit="1" customWidth="1"/>
    <col min="2" max="2" width="10.140625" style="2" bestFit="1" customWidth="1"/>
    <col min="3" max="3" width="19.140625" style="2" customWidth="1"/>
    <col min="4" max="4" width="18.28515625" style="2" bestFit="1" customWidth="1"/>
    <col min="5" max="5" width="18" style="2" bestFit="1" customWidth="1"/>
    <col min="6" max="6" width="15.7109375" style="2" bestFit="1" customWidth="1"/>
    <col min="7" max="7" width="14.7109375" style="2" bestFit="1" customWidth="1"/>
    <col min="8" max="8" width="14.7109375" style="2" customWidth="1"/>
    <col min="9" max="12" width="11.42578125" style="2" hidden="1" customWidth="1"/>
    <col min="13" max="13" width="24.5703125" style="2" hidden="1" customWidth="1"/>
    <col min="14" max="16384" width="11.42578125" style="2"/>
  </cols>
  <sheetData>
    <row r="1" spans="1:13" ht="57" customHeight="1" x14ac:dyDescent="0.25">
      <c r="A1" s="163" t="s">
        <v>270</v>
      </c>
      <c r="B1" s="163"/>
      <c r="C1" s="163"/>
      <c r="D1" s="163"/>
      <c r="E1" s="163"/>
      <c r="F1" s="163"/>
      <c r="G1" s="163"/>
      <c r="H1" s="163"/>
    </row>
    <row r="2" spans="1:13" ht="36.950000000000003" customHeight="1" x14ac:dyDescent="0.25">
      <c r="A2" s="4" t="s">
        <v>120</v>
      </c>
      <c r="B2" s="4" t="s">
        <v>121</v>
      </c>
      <c r="C2" s="4" t="s">
        <v>122</v>
      </c>
      <c r="D2" s="4" t="s">
        <v>123</v>
      </c>
      <c r="E2" s="4" t="s">
        <v>185</v>
      </c>
      <c r="F2" s="4" t="s">
        <v>186</v>
      </c>
      <c r="G2" s="4" t="s">
        <v>187</v>
      </c>
      <c r="H2" s="4" t="s">
        <v>125</v>
      </c>
    </row>
    <row r="3" spans="1:13" ht="20.25" customHeight="1" x14ac:dyDescent="0.4">
      <c r="A3" s="31" t="s">
        <v>211</v>
      </c>
      <c r="B3" s="16" t="s">
        <v>148</v>
      </c>
      <c r="C3" s="28">
        <f>'🗄️BDD'!C27</f>
        <v>0</v>
      </c>
      <c r="D3" s="28">
        <f>'🗄️BDD'!D27</f>
        <v>0</v>
      </c>
      <c r="E3" s="28">
        <f>'🗄️BDD'!E27</f>
        <v>0</v>
      </c>
      <c r="F3" s="86">
        <f>E3-D3</f>
        <v>0</v>
      </c>
      <c r="G3" s="86">
        <f>E3-C3</f>
        <v>0</v>
      </c>
      <c r="H3" s="28">
        <f>'🗄️BDD'!F27</f>
        <v>0</v>
      </c>
      <c r="J3" s="86">
        <f>H3-E3</f>
        <v>0</v>
      </c>
      <c r="M3" s="90">
        <f>E3</f>
        <v>0</v>
      </c>
    </row>
    <row r="4" spans="1:13" ht="20.25" customHeight="1" x14ac:dyDescent="0.25">
      <c r="A4" s="31" t="s">
        <v>149</v>
      </c>
      <c r="B4" s="16" t="s">
        <v>148</v>
      </c>
      <c r="C4" s="28">
        <f>'🗄️BDD'!C28</f>
        <v>0</v>
      </c>
      <c r="D4" s="28">
        <f>'🗄️BDD'!D28</f>
        <v>0</v>
      </c>
      <c r="E4" s="28">
        <f>'🗄️BDD'!E28</f>
        <v>0</v>
      </c>
      <c r="F4" s="86">
        <f t="shared" ref="F4:F11" si="0">E4-D4</f>
        <v>0</v>
      </c>
      <c r="G4" s="86">
        <f t="shared" ref="G4:G11" si="1">E4-C4</f>
        <v>0</v>
      </c>
      <c r="H4" s="28">
        <f>'🗄️BDD'!F28</f>
        <v>0</v>
      </c>
      <c r="M4" s="89">
        <f>E4</f>
        <v>0</v>
      </c>
    </row>
    <row r="5" spans="1:13" ht="20.25" customHeight="1" x14ac:dyDescent="0.25">
      <c r="A5" s="31" t="s">
        <v>150</v>
      </c>
      <c r="B5" s="16" t="s">
        <v>151</v>
      </c>
      <c r="C5" s="29">
        <f>'🗄️BDD'!C29</f>
        <v>0</v>
      </c>
      <c r="D5" s="29">
        <f>'🗄️BDD'!D29</f>
        <v>0</v>
      </c>
      <c r="E5" s="29">
        <f>'🗄️BDD'!E29</f>
        <v>0</v>
      </c>
      <c r="F5" s="55">
        <f t="shared" si="0"/>
        <v>0</v>
      </c>
      <c r="G5" s="55">
        <f t="shared" si="1"/>
        <v>0</v>
      </c>
      <c r="H5" s="29">
        <f>'🗄️BDD'!F29</f>
        <v>0</v>
      </c>
    </row>
    <row r="6" spans="1:13" ht="20.25" customHeight="1" x14ac:dyDescent="0.25">
      <c r="A6" s="31" t="s">
        <v>212</v>
      </c>
      <c r="B6" s="16" t="s">
        <v>151</v>
      </c>
      <c r="C6" s="29">
        <f>'🗄️BDD'!C30</f>
        <v>0</v>
      </c>
      <c r="D6" s="29">
        <f>'🗄️BDD'!D30</f>
        <v>0</v>
      </c>
      <c r="E6" s="29">
        <f>'🗄️BDD'!E30</f>
        <v>0</v>
      </c>
      <c r="F6" s="55">
        <f t="shared" si="0"/>
        <v>0</v>
      </c>
      <c r="G6" s="55">
        <f t="shared" si="1"/>
        <v>0</v>
      </c>
      <c r="H6" s="29">
        <f>'🗄️BDD'!F30</f>
        <v>0</v>
      </c>
    </row>
    <row r="7" spans="1:13" ht="20.25" customHeight="1" x14ac:dyDescent="0.25">
      <c r="A7" s="31" t="s">
        <v>153</v>
      </c>
      <c r="B7" s="16" t="s">
        <v>151</v>
      </c>
      <c r="C7" s="29">
        <f>'🗄️BDD'!C31</f>
        <v>0</v>
      </c>
      <c r="D7" s="29">
        <f>'🗄️BDD'!D31</f>
        <v>0</v>
      </c>
      <c r="E7" s="29">
        <f>'🗄️BDD'!E31</f>
        <v>0</v>
      </c>
      <c r="F7" s="55">
        <f t="shared" si="0"/>
        <v>0</v>
      </c>
      <c r="G7" s="55">
        <f t="shared" si="1"/>
        <v>0</v>
      </c>
      <c r="H7" s="29">
        <f>'🗄️BDD'!F31</f>
        <v>0</v>
      </c>
    </row>
    <row r="8" spans="1:13" ht="20.25" customHeight="1" x14ac:dyDescent="0.25">
      <c r="A8" s="31" t="s">
        <v>154</v>
      </c>
      <c r="B8" s="16" t="s">
        <v>151</v>
      </c>
      <c r="C8" s="29">
        <f>'🗄️BDD'!C32</f>
        <v>0</v>
      </c>
      <c r="D8" s="29">
        <f>'🗄️BDD'!D32</f>
        <v>0</v>
      </c>
      <c r="E8" s="29">
        <f>'🗄️BDD'!E32</f>
        <v>0</v>
      </c>
      <c r="F8" s="55">
        <f t="shared" si="0"/>
        <v>0</v>
      </c>
      <c r="G8" s="55">
        <f t="shared" si="1"/>
        <v>0</v>
      </c>
      <c r="H8" s="29">
        <f>'🗄️BDD'!F32</f>
        <v>0</v>
      </c>
    </row>
    <row r="9" spans="1:13" ht="20.25" customHeight="1" x14ac:dyDescent="0.25">
      <c r="A9" s="31" t="s">
        <v>155</v>
      </c>
      <c r="B9" s="16" t="s">
        <v>151</v>
      </c>
      <c r="C9" s="29">
        <f>'🗄️BDD'!C33</f>
        <v>0</v>
      </c>
      <c r="D9" s="29">
        <f>'🗄️BDD'!D33</f>
        <v>0</v>
      </c>
      <c r="E9" s="29">
        <f>'🗄️BDD'!E33</f>
        <v>0</v>
      </c>
      <c r="F9" s="55">
        <f t="shared" si="0"/>
        <v>0</v>
      </c>
      <c r="G9" s="55">
        <f t="shared" si="1"/>
        <v>0</v>
      </c>
      <c r="H9" s="29">
        <f>'🗄️BDD'!F33</f>
        <v>0</v>
      </c>
    </row>
    <row r="10" spans="1:13" ht="20.25" customHeight="1" x14ac:dyDescent="0.25">
      <c r="A10" s="31" t="s">
        <v>213</v>
      </c>
      <c r="B10" s="16" t="s">
        <v>151</v>
      </c>
      <c r="C10" s="29">
        <f>'🗄️BDD'!C34</f>
        <v>0</v>
      </c>
      <c r="D10" s="29">
        <f>'🗄️BDD'!D34</f>
        <v>0</v>
      </c>
      <c r="E10" s="29">
        <f>'🗄️BDD'!E34</f>
        <v>0</v>
      </c>
      <c r="F10" s="55">
        <f t="shared" si="0"/>
        <v>0</v>
      </c>
      <c r="G10" s="55">
        <f t="shared" si="1"/>
        <v>0</v>
      </c>
      <c r="H10" s="29">
        <f>'🗄️BDD'!F34</f>
        <v>0</v>
      </c>
      <c r="J10" s="46">
        <f>E11</f>
        <v>0</v>
      </c>
    </row>
    <row r="11" spans="1:13" ht="18" customHeight="1" x14ac:dyDescent="0.4">
      <c r="A11" s="31" t="s">
        <v>157</v>
      </c>
      <c r="B11" s="16" t="s">
        <v>130</v>
      </c>
      <c r="C11" s="28">
        <f>'🗄️BDD'!C35</f>
        <v>0</v>
      </c>
      <c r="D11" s="28">
        <f>'🗄️BDD'!D35</f>
        <v>0</v>
      </c>
      <c r="E11" s="28">
        <f>'🗄️BDD'!E35</f>
        <v>0</v>
      </c>
      <c r="F11" s="57">
        <f t="shared" si="0"/>
        <v>0</v>
      </c>
      <c r="G11" s="57">
        <f t="shared" si="1"/>
        <v>0</v>
      </c>
      <c r="H11" s="28">
        <f>'🗄️BDD'!F35</f>
        <v>0</v>
      </c>
      <c r="J11" s="46">
        <f>H11</f>
        <v>0</v>
      </c>
      <c r="K11" s="59">
        <f>J11-J10</f>
        <v>0</v>
      </c>
      <c r="M11" s="91"/>
    </row>
    <row r="12" spans="1:13" ht="15.75" x14ac:dyDescent="0.25">
      <c r="A12" s="31"/>
    </row>
    <row r="13" spans="1:13" ht="31.5" customHeight="1" x14ac:dyDescent="0.4">
      <c r="M13" s="91">
        <f>E11</f>
        <v>0</v>
      </c>
    </row>
  </sheetData>
  <sheetProtection sheet="1" selectLockedCells="1" selectUnlockedCells="1"/>
  <mergeCells count="1">
    <mergeCell ref="A1:H1"/>
  </mergeCells>
  <conditionalFormatting sqref="K11">
    <cfRule type="cellIs" dxfId="22" priority="11" operator="greaterThan">
      <formula>0</formula>
    </cfRule>
    <cfRule type="cellIs" dxfId="21" priority="12" operator="lessThanOrEqual">
      <formula>0</formula>
    </cfRule>
  </conditionalFormatting>
  <conditionalFormatting sqref="F5:G10">
    <cfRule type="cellIs" dxfId="20" priority="9" operator="lessThan">
      <formula>0</formula>
    </cfRule>
    <cfRule type="cellIs" dxfId="19" priority="10" operator="greaterThanOrEqual">
      <formula>0</formula>
    </cfRule>
  </conditionalFormatting>
  <conditionalFormatting sqref="F4:G4">
    <cfRule type="cellIs" dxfId="18" priority="7" operator="greaterThan">
      <formula>0</formula>
    </cfRule>
    <cfRule type="cellIs" dxfId="17" priority="8" operator="lessThanOrEqual">
      <formula>0</formula>
    </cfRule>
  </conditionalFormatting>
  <conditionalFormatting sqref="F11:G11">
    <cfRule type="cellIs" dxfId="16" priority="5" operator="greaterThan">
      <formula>0</formula>
    </cfRule>
    <cfRule type="cellIs" dxfId="15" priority="6" operator="lessThanOrEqual">
      <formula>0</formula>
    </cfRule>
  </conditionalFormatting>
  <conditionalFormatting sqref="F3:G3">
    <cfRule type="cellIs" dxfId="14" priority="3" operator="lessThan">
      <formula>0</formula>
    </cfRule>
    <cfRule type="cellIs" dxfId="13" priority="4" operator="greaterThanOrEqual">
      <formula>0</formula>
    </cfRule>
  </conditionalFormatting>
  <conditionalFormatting sqref="J3">
    <cfRule type="cellIs" dxfId="12" priority="1" operator="lessThan">
      <formula>0</formula>
    </cfRule>
    <cfRule type="cellIs" dxfId="11" priority="2" operator="greaterThanOrEqual">
      <formula>0</formula>
    </cfRule>
  </conditionalFormatting>
  <pageMargins left="0.7" right="0.7" top="0.75" bottom="0.75" header="0.3" footer="0.3"/>
  <pageSetup paperSize="9"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A9025-FE23-42C3-BC5D-C6EE3A3CCB1F}">
  <sheetPr codeName="Gouvernance">
    <tabColor rgb="FFC6B3D8"/>
    <pageSetUpPr fitToPage="1"/>
  </sheetPr>
  <dimension ref="A1:J10"/>
  <sheetViews>
    <sheetView showGridLines="0" workbookViewId="0">
      <pane xSplit="1" ySplit="2" topLeftCell="B3" activePane="bottomRight" state="frozen"/>
      <selection pane="topRight"/>
      <selection pane="bottomLeft"/>
      <selection pane="bottomRight" activeCell="N10" sqref="N10"/>
    </sheetView>
  </sheetViews>
  <sheetFormatPr baseColWidth="10" defaultColWidth="11.42578125" defaultRowHeight="18" customHeight="1" x14ac:dyDescent="0.25"/>
  <cols>
    <col min="1" max="1" width="62.7109375" style="1" bestFit="1" customWidth="1"/>
    <col min="2" max="2" width="15.42578125" style="1" bestFit="1" customWidth="1"/>
    <col min="3" max="8" width="15.7109375" style="1" customWidth="1"/>
    <col min="9" max="9" width="33.140625" style="1" hidden="1" customWidth="1"/>
    <col min="10" max="10" width="11.42578125" style="1" hidden="1" customWidth="1"/>
    <col min="11" max="11" width="11.42578125" style="1" customWidth="1"/>
    <col min="12" max="16384" width="11.42578125" style="1"/>
  </cols>
  <sheetData>
    <row r="1" spans="1:10" ht="57" customHeight="1" thickBot="1" x14ac:dyDescent="0.3">
      <c r="A1" s="164" t="s">
        <v>272</v>
      </c>
      <c r="B1" s="165"/>
      <c r="C1" s="165"/>
      <c r="D1" s="165"/>
      <c r="E1" s="165"/>
      <c r="F1" s="165"/>
      <c r="G1" s="165"/>
      <c r="H1" s="165"/>
      <c r="I1" s="165"/>
    </row>
    <row r="2" spans="1:10" ht="36.950000000000003" customHeight="1" x14ac:dyDescent="0.25">
      <c r="A2" s="4" t="s">
        <v>120</v>
      </c>
      <c r="B2" s="4" t="s">
        <v>121</v>
      </c>
      <c r="C2" s="4" t="s">
        <v>122</v>
      </c>
      <c r="D2" s="4" t="s">
        <v>123</v>
      </c>
      <c r="E2" s="4" t="s">
        <v>185</v>
      </c>
      <c r="F2" s="4" t="s">
        <v>186</v>
      </c>
      <c r="G2" s="4" t="s">
        <v>187</v>
      </c>
      <c r="H2" s="4" t="s">
        <v>125</v>
      </c>
      <c r="I2" s="4" t="s">
        <v>214</v>
      </c>
    </row>
    <row r="3" spans="1:10" ht="20.25" customHeight="1" x14ac:dyDescent="0.25">
      <c r="A3" s="6" t="s">
        <v>215</v>
      </c>
    </row>
    <row r="4" spans="1:10" ht="20.25" customHeight="1" x14ac:dyDescent="0.25">
      <c r="A4" s="31" t="s">
        <v>216</v>
      </c>
      <c r="B4" s="1" t="s">
        <v>175</v>
      </c>
      <c r="C4" s="28">
        <f>'🗄️BDD'!C50</f>
        <v>0</v>
      </c>
      <c r="D4" s="28">
        <f>'🗄️BDD'!D50</f>
        <v>0</v>
      </c>
      <c r="E4" s="28">
        <f>'🗄️BDD'!E50</f>
        <v>0</v>
      </c>
      <c r="F4" s="86">
        <f>E4-D4</f>
        <v>0</v>
      </c>
      <c r="G4" s="86">
        <f>E4-C4</f>
        <v>0</v>
      </c>
      <c r="H4" s="28">
        <f>'🗄️BDD'!F50</f>
        <v>0</v>
      </c>
      <c r="I4" s="5"/>
      <c r="J4" s="60">
        <f>H4-E4</f>
        <v>0</v>
      </c>
    </row>
    <row r="5" spans="1:10" ht="20.25" customHeight="1" x14ac:dyDescent="0.25">
      <c r="A5" s="31" t="s">
        <v>176</v>
      </c>
      <c r="B5" s="1" t="s">
        <v>177</v>
      </c>
      <c r="C5" s="28">
        <f>'🗄️BDD'!C51</f>
        <v>0</v>
      </c>
      <c r="D5" s="28">
        <f>'🗄️BDD'!D51</f>
        <v>0</v>
      </c>
      <c r="E5" s="28">
        <f>'🗄️BDD'!E51</f>
        <v>0</v>
      </c>
      <c r="F5" s="86">
        <f>E5-D5</f>
        <v>0</v>
      </c>
      <c r="G5" s="86">
        <f>E5-C5</f>
        <v>0</v>
      </c>
      <c r="H5" s="28">
        <f>'🗄️BDD'!F51</f>
        <v>0</v>
      </c>
      <c r="I5" s="5"/>
      <c r="J5" s="60">
        <f>H5-E5</f>
        <v>0</v>
      </c>
    </row>
    <row r="6" spans="1:10" ht="20.25" customHeight="1" x14ac:dyDescent="0.25">
      <c r="A6" s="31" t="s">
        <v>178</v>
      </c>
      <c r="B6" s="1" t="s">
        <v>179</v>
      </c>
      <c r="C6" s="28">
        <f>'🗄️BDD'!C52</f>
        <v>0</v>
      </c>
      <c r="D6" s="28">
        <f>'🗄️BDD'!D52</f>
        <v>0</v>
      </c>
      <c r="E6" s="28">
        <f>'🗄️BDD'!E52</f>
        <v>0</v>
      </c>
      <c r="F6" s="86">
        <f>E6-D6</f>
        <v>0</v>
      </c>
      <c r="G6" s="86">
        <f>E6-C6</f>
        <v>0</v>
      </c>
      <c r="H6" s="28">
        <f>'🗄️BDD'!F52</f>
        <v>0</v>
      </c>
      <c r="I6" s="5"/>
    </row>
    <row r="7" spans="1:10" ht="20.25" customHeight="1" x14ac:dyDescent="0.25">
      <c r="A7" s="6" t="s">
        <v>217</v>
      </c>
    </row>
    <row r="8" spans="1:10" ht="20.25" customHeight="1" x14ac:dyDescent="0.25">
      <c r="A8" s="31" t="s">
        <v>180</v>
      </c>
      <c r="B8" s="1" t="s">
        <v>181</v>
      </c>
      <c r="C8" s="28">
        <f>'🗄️BDD'!C53</f>
        <v>0</v>
      </c>
      <c r="D8" s="28">
        <f>'🗄️BDD'!D53</f>
        <v>0</v>
      </c>
      <c r="E8" s="28">
        <f>'🗄️BDD'!E53</f>
        <v>0</v>
      </c>
      <c r="F8" s="86">
        <f>E8-D8</f>
        <v>0</v>
      </c>
      <c r="G8" s="86">
        <f>E8-C8</f>
        <v>0</v>
      </c>
      <c r="H8" s="28">
        <f>'🗄️BDD'!F53</f>
        <v>0</v>
      </c>
      <c r="I8" s="5"/>
      <c r="J8" s="39">
        <f>E8+E9</f>
        <v>0</v>
      </c>
    </row>
    <row r="9" spans="1:10" ht="20.25" customHeight="1" x14ac:dyDescent="0.25">
      <c r="A9" s="31" t="s">
        <v>182</v>
      </c>
      <c r="B9" s="1" t="s">
        <v>183</v>
      </c>
      <c r="C9" s="28">
        <f>'🗄️BDD'!C54</f>
        <v>0</v>
      </c>
      <c r="D9" s="28">
        <f>'🗄️BDD'!D54</f>
        <v>0</v>
      </c>
      <c r="E9" s="28">
        <f>'🗄️BDD'!E54</f>
        <v>0</v>
      </c>
      <c r="F9" s="86">
        <f>E9-D9</f>
        <v>0</v>
      </c>
      <c r="G9" s="86">
        <f>E9-C9</f>
        <v>0</v>
      </c>
      <c r="H9" s="28">
        <f>'🗄️BDD'!F54</f>
        <v>0</v>
      </c>
      <c r="I9" s="5"/>
      <c r="J9" s="39">
        <f>H8+H9</f>
        <v>0</v>
      </c>
    </row>
    <row r="10" spans="1:10" ht="18" customHeight="1" x14ac:dyDescent="0.25">
      <c r="J10" s="60">
        <f>J8-J9</f>
        <v>0</v>
      </c>
    </row>
  </sheetData>
  <sheetProtection sheet="1" selectLockedCells="1" selectUnlockedCells="1"/>
  <mergeCells count="1">
    <mergeCell ref="A1:I1"/>
  </mergeCells>
  <conditionalFormatting sqref="F4:G6">
    <cfRule type="cellIs" dxfId="10" priority="4" operator="lessThan">
      <formula>0</formula>
    </cfRule>
    <cfRule type="cellIs" dxfId="9" priority="5" operator="greaterThanOrEqual">
      <formula>0</formula>
    </cfRule>
  </conditionalFormatting>
  <conditionalFormatting sqref="F8:G9">
    <cfRule type="cellIs" dxfId="8" priority="2" operator="lessThan">
      <formula>0</formula>
    </cfRule>
    <cfRule type="cellIs" dxfId="7" priority="3" operator="greaterThanOrEqual">
      <formula>0</formula>
    </cfRule>
  </conditionalFormatting>
  <conditionalFormatting sqref="J10">
    <cfRule type="expression" dxfId="6" priority="1">
      <formula>"$J$10&gt;0"</formula>
    </cfRule>
  </conditionalFormatting>
  <pageMargins left="0.7" right="0.7" top="0.75" bottom="0.75" header="0.3" footer="0.3"/>
  <pageSetup paperSize="9"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CEA3F-629D-4E9B-80D1-AF0E33E83E85}">
  <sheetPr codeName="Synthese">
    <tabColor rgb="FFD9CCE5"/>
    <pageSetUpPr fitToPage="1"/>
  </sheetPr>
  <dimension ref="A1:AA61"/>
  <sheetViews>
    <sheetView showGridLines="0" zoomScale="90" zoomScaleNormal="90" workbookViewId="0">
      <selection activeCell="X28" sqref="X28"/>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7" x14ac:dyDescent="0.25">
      <c r="A1" s="47"/>
      <c r="B1" s="47"/>
      <c r="C1" s="47"/>
      <c r="D1" s="47"/>
      <c r="E1" s="47"/>
      <c r="F1" s="47"/>
      <c r="G1" s="47"/>
      <c r="H1" s="47"/>
      <c r="I1" s="47"/>
      <c r="J1" s="47"/>
      <c r="K1" s="47"/>
      <c r="L1" s="47"/>
      <c r="M1" s="47"/>
      <c r="N1" s="47"/>
      <c r="O1" s="47"/>
      <c r="P1" s="47"/>
      <c r="Q1" s="47"/>
      <c r="R1" s="47"/>
      <c r="S1" s="47"/>
      <c r="T1" s="47"/>
    </row>
    <row r="2" spans="1:27" ht="18.75" x14ac:dyDescent="0.3">
      <c r="A2" s="47"/>
      <c r="B2" s="47"/>
      <c r="C2" s="47"/>
      <c r="D2" s="47"/>
      <c r="E2" s="47"/>
      <c r="F2" s="47"/>
      <c r="G2" s="47"/>
      <c r="H2" s="47"/>
      <c r="I2" s="47"/>
      <c r="J2" s="47"/>
      <c r="K2" s="47"/>
      <c r="L2" s="47"/>
      <c r="M2" s="47"/>
      <c r="N2" s="47"/>
      <c r="O2" s="47"/>
      <c r="P2" s="47"/>
      <c r="Q2" s="47"/>
      <c r="R2" s="47"/>
      <c r="S2" s="47"/>
      <c r="T2" s="47"/>
      <c r="X2" s="56"/>
    </row>
    <row r="3" spans="1:27" x14ac:dyDescent="0.25">
      <c r="A3" s="47"/>
      <c r="B3" s="47"/>
      <c r="C3" s="47"/>
      <c r="D3" s="47"/>
      <c r="E3" s="47"/>
      <c r="F3" s="47"/>
      <c r="G3" s="47"/>
      <c r="H3" s="47"/>
      <c r="I3" s="47"/>
      <c r="J3" s="47"/>
      <c r="K3" s="47"/>
      <c r="L3" s="47"/>
      <c r="M3" s="47"/>
      <c r="N3" s="47"/>
      <c r="O3" s="47"/>
      <c r="P3" s="47"/>
      <c r="Q3" s="47"/>
      <c r="R3" s="47"/>
      <c r="S3" s="47"/>
      <c r="T3" s="47"/>
    </row>
    <row r="4" spans="1:27" x14ac:dyDescent="0.25">
      <c r="A4" s="47"/>
      <c r="B4" s="47"/>
      <c r="C4" s="47"/>
      <c r="D4" s="47"/>
      <c r="E4" s="47"/>
      <c r="F4" s="47"/>
      <c r="G4" s="47"/>
      <c r="H4" s="47"/>
      <c r="I4" s="47"/>
      <c r="J4" s="47"/>
      <c r="K4" s="47"/>
      <c r="L4" s="47"/>
      <c r="M4" s="47"/>
      <c r="N4" s="47"/>
      <c r="O4" s="47"/>
      <c r="P4" s="47"/>
      <c r="Q4" s="47"/>
      <c r="R4" s="47"/>
      <c r="S4" s="47"/>
      <c r="T4" s="47"/>
    </row>
    <row r="5" spans="1:27" x14ac:dyDescent="0.25">
      <c r="A5" s="47"/>
      <c r="B5" s="47"/>
      <c r="C5" s="47"/>
      <c r="D5" s="47"/>
      <c r="E5" s="47"/>
      <c r="F5" s="47"/>
      <c r="G5" s="47"/>
      <c r="H5" s="47"/>
      <c r="I5" s="47"/>
      <c r="J5" s="47"/>
      <c r="K5" s="47"/>
      <c r="L5" s="47"/>
      <c r="M5" s="47"/>
      <c r="N5" s="47"/>
      <c r="O5" s="47"/>
      <c r="P5" s="47"/>
      <c r="Q5" s="47"/>
      <c r="R5" s="47"/>
      <c r="S5" s="47"/>
      <c r="T5" s="47"/>
    </row>
    <row r="6" spans="1:27" x14ac:dyDescent="0.25">
      <c r="A6" s="47"/>
      <c r="B6" s="47"/>
      <c r="C6" s="47"/>
      <c r="D6" s="47"/>
      <c r="E6" s="47"/>
      <c r="F6" s="47"/>
      <c r="G6" s="47"/>
      <c r="H6" s="47"/>
      <c r="I6" s="47"/>
      <c r="J6" s="47"/>
      <c r="K6" s="47"/>
      <c r="L6" s="47"/>
      <c r="M6" s="47"/>
      <c r="N6" s="47"/>
      <c r="O6" s="47"/>
      <c r="P6" s="47"/>
      <c r="Q6" s="47"/>
      <c r="R6" s="47"/>
      <c r="S6" s="47"/>
      <c r="T6" s="47"/>
    </row>
    <row r="7" spans="1:27" x14ac:dyDescent="0.25">
      <c r="A7" s="47"/>
      <c r="B7" s="47"/>
      <c r="C7" s="47"/>
      <c r="D7" s="47"/>
      <c r="E7" s="47"/>
      <c r="F7" s="47"/>
      <c r="G7" s="47"/>
      <c r="H7" s="47"/>
      <c r="I7" s="47"/>
      <c r="J7" s="47"/>
      <c r="K7" s="47"/>
      <c r="L7" s="47"/>
      <c r="M7" s="47"/>
      <c r="N7" s="47"/>
      <c r="O7" s="47"/>
      <c r="P7" s="47"/>
      <c r="Q7" s="47"/>
      <c r="R7" s="47"/>
      <c r="S7" s="47"/>
      <c r="T7" s="47"/>
    </row>
    <row r="8" spans="1:27" x14ac:dyDescent="0.25">
      <c r="A8" s="47"/>
      <c r="B8" s="47"/>
      <c r="C8" s="47"/>
      <c r="D8" s="47"/>
      <c r="E8" s="47"/>
      <c r="F8" s="47"/>
      <c r="G8" s="47"/>
      <c r="H8" s="47"/>
      <c r="I8" s="47"/>
      <c r="J8" s="47"/>
      <c r="K8" s="47"/>
      <c r="L8" s="47"/>
      <c r="M8" s="47"/>
      <c r="N8" s="47"/>
      <c r="O8" s="47"/>
      <c r="P8" s="47"/>
      <c r="Q8" s="47"/>
      <c r="R8" s="47"/>
      <c r="S8" s="47"/>
      <c r="T8" s="47"/>
    </row>
    <row r="9" spans="1:27" x14ac:dyDescent="0.25">
      <c r="A9" s="47"/>
      <c r="B9" s="47"/>
      <c r="C9" s="47"/>
      <c r="D9" s="47"/>
      <c r="E9" s="47"/>
      <c r="F9" s="47"/>
      <c r="G9" s="47"/>
      <c r="H9" s="47"/>
      <c r="I9" s="47"/>
      <c r="J9" s="47"/>
      <c r="K9" s="47"/>
      <c r="L9" s="47"/>
      <c r="M9" s="47"/>
      <c r="N9" s="47"/>
      <c r="O9" s="47"/>
      <c r="P9" s="47"/>
      <c r="Q9" s="47"/>
      <c r="R9" s="47"/>
      <c r="S9" s="47"/>
      <c r="T9" s="47"/>
    </row>
    <row r="10" spans="1:27" x14ac:dyDescent="0.25">
      <c r="A10" s="47"/>
      <c r="B10" s="47"/>
      <c r="C10" s="47"/>
      <c r="D10" s="47"/>
      <c r="E10" s="47"/>
      <c r="F10" s="47"/>
      <c r="G10" s="47"/>
      <c r="H10" s="47"/>
      <c r="I10" s="47"/>
      <c r="J10" s="47"/>
      <c r="K10" s="47"/>
      <c r="L10" s="47"/>
      <c r="M10" s="47"/>
      <c r="N10" s="47"/>
      <c r="O10" s="47"/>
      <c r="P10" s="47"/>
      <c r="Q10" s="47"/>
      <c r="R10" s="47"/>
      <c r="S10" s="47"/>
      <c r="T10" s="47"/>
    </row>
    <row r="11" spans="1:27" x14ac:dyDescent="0.25">
      <c r="A11" s="47"/>
      <c r="B11" s="47"/>
      <c r="C11" s="47"/>
      <c r="D11" s="47"/>
      <c r="E11" s="47"/>
      <c r="F11" s="47"/>
      <c r="G11" s="47"/>
      <c r="H11" s="47"/>
      <c r="I11" s="47"/>
      <c r="J11" s="47"/>
      <c r="K11" s="47"/>
      <c r="L11" s="47"/>
      <c r="M11" s="47"/>
      <c r="N11" s="47"/>
      <c r="O11" s="47"/>
      <c r="P11" s="47"/>
      <c r="Q11" s="47"/>
      <c r="R11" s="47"/>
      <c r="S11" s="47"/>
      <c r="T11" s="47"/>
      <c r="AA11" s="53"/>
    </row>
    <row r="12" spans="1:27" x14ac:dyDescent="0.25">
      <c r="A12" s="47"/>
      <c r="B12" s="47"/>
      <c r="C12" s="47"/>
      <c r="D12" s="47"/>
      <c r="E12" s="47"/>
      <c r="F12" s="47"/>
      <c r="G12" s="47"/>
      <c r="H12" s="47"/>
      <c r="I12" s="47"/>
      <c r="J12" s="47"/>
      <c r="K12" s="47"/>
      <c r="L12" s="47"/>
      <c r="M12" s="47"/>
      <c r="N12" s="47"/>
      <c r="O12" s="47"/>
      <c r="P12" s="47"/>
      <c r="Q12" s="47"/>
      <c r="R12" s="47"/>
      <c r="S12" s="47"/>
      <c r="T12" s="47"/>
    </row>
    <row r="13" spans="1:27" x14ac:dyDescent="0.25">
      <c r="A13" s="47"/>
      <c r="B13" s="47"/>
      <c r="C13" s="47"/>
      <c r="D13" s="47"/>
      <c r="E13" s="47"/>
      <c r="F13" s="47"/>
      <c r="G13" s="47"/>
      <c r="H13" s="47"/>
      <c r="I13" s="47"/>
      <c r="J13" s="47"/>
      <c r="K13" s="47"/>
      <c r="L13" s="47"/>
      <c r="M13" s="47"/>
      <c r="N13" s="47"/>
      <c r="O13" s="47"/>
      <c r="P13" s="47"/>
      <c r="Q13" s="47"/>
      <c r="R13" s="47"/>
      <c r="S13" s="47"/>
      <c r="T13" s="47"/>
    </row>
    <row r="14" spans="1:27" x14ac:dyDescent="0.25">
      <c r="A14" s="47"/>
      <c r="B14" s="47"/>
      <c r="C14" s="47"/>
      <c r="D14" s="47"/>
      <c r="E14" s="47"/>
      <c r="F14" s="47"/>
      <c r="G14" s="47"/>
      <c r="H14" s="47"/>
      <c r="I14" s="47"/>
      <c r="J14" s="47"/>
      <c r="K14" s="47"/>
      <c r="L14" s="47"/>
      <c r="M14" s="47"/>
      <c r="N14" s="47"/>
      <c r="O14" s="47"/>
      <c r="P14" s="47"/>
      <c r="Q14" s="47"/>
      <c r="R14" s="47"/>
      <c r="S14" s="47"/>
      <c r="T14" s="47"/>
    </row>
    <row r="15" spans="1:27" x14ac:dyDescent="0.25">
      <c r="A15" s="47"/>
      <c r="B15" s="47"/>
      <c r="C15" s="47"/>
      <c r="D15" s="47"/>
      <c r="E15" s="47"/>
      <c r="F15" s="47"/>
      <c r="G15" s="47"/>
      <c r="H15" s="47"/>
      <c r="I15" s="47"/>
      <c r="J15" s="47"/>
      <c r="K15" s="47"/>
      <c r="L15" s="47"/>
      <c r="M15" s="47"/>
      <c r="N15" s="47"/>
      <c r="O15" s="47"/>
      <c r="P15" s="47"/>
      <c r="Q15" s="47"/>
      <c r="R15" s="47"/>
      <c r="S15" s="47"/>
      <c r="T15" s="47"/>
    </row>
    <row r="16" spans="1:27" x14ac:dyDescent="0.25">
      <c r="A16" s="47"/>
      <c r="B16" s="47"/>
      <c r="C16" s="47"/>
      <c r="D16" s="47"/>
      <c r="E16" s="47"/>
      <c r="F16" s="47"/>
      <c r="G16" s="47"/>
      <c r="H16" s="47"/>
      <c r="I16" s="47"/>
      <c r="J16" s="47"/>
      <c r="K16" s="47"/>
      <c r="L16" s="47"/>
      <c r="M16" s="47"/>
      <c r="N16" s="47"/>
      <c r="O16" s="47"/>
      <c r="P16" s="47"/>
      <c r="Q16" s="47"/>
      <c r="R16" s="47"/>
      <c r="S16" s="47"/>
      <c r="T16" s="47"/>
    </row>
    <row r="17" spans="1:20" x14ac:dyDescent="0.25">
      <c r="A17" s="47"/>
      <c r="B17" s="47"/>
      <c r="C17" s="47"/>
      <c r="D17" s="47"/>
      <c r="E17" s="47"/>
      <c r="F17" s="47"/>
      <c r="G17" s="47"/>
      <c r="H17" s="47"/>
      <c r="I17" s="47"/>
      <c r="J17" s="47"/>
      <c r="K17" s="47"/>
      <c r="L17" s="47"/>
      <c r="M17" s="47"/>
      <c r="N17" s="47"/>
      <c r="O17" s="47"/>
      <c r="P17" s="47"/>
      <c r="Q17" s="47"/>
      <c r="R17" s="47"/>
      <c r="S17" s="47"/>
      <c r="T17" s="47"/>
    </row>
    <row r="18" spans="1:20" x14ac:dyDescent="0.25">
      <c r="A18" s="47"/>
      <c r="B18" s="47"/>
      <c r="C18" s="47"/>
      <c r="D18" s="47"/>
      <c r="E18" s="47"/>
      <c r="F18" s="47"/>
      <c r="G18" s="47"/>
      <c r="H18" s="47"/>
      <c r="I18" s="47"/>
      <c r="J18" s="47"/>
      <c r="K18" s="47"/>
      <c r="L18" s="47"/>
      <c r="M18" s="47"/>
      <c r="N18" s="47"/>
      <c r="O18" s="47"/>
      <c r="P18" s="47"/>
      <c r="Q18" s="47"/>
      <c r="R18" s="47"/>
      <c r="S18" s="47"/>
      <c r="T18" s="47"/>
    </row>
    <row r="19" spans="1:20" x14ac:dyDescent="0.25">
      <c r="A19" s="47"/>
      <c r="B19" s="47"/>
      <c r="C19" s="47"/>
      <c r="D19" s="47"/>
      <c r="E19" s="47"/>
      <c r="F19" s="47"/>
      <c r="G19" s="47"/>
      <c r="H19" s="47"/>
      <c r="I19" s="47"/>
      <c r="J19" s="47"/>
      <c r="K19" s="47"/>
      <c r="L19" s="47"/>
      <c r="M19" s="47"/>
      <c r="N19" s="47"/>
      <c r="O19" s="47"/>
      <c r="P19" s="47"/>
      <c r="Q19" s="47"/>
      <c r="R19" s="47"/>
      <c r="S19" s="47"/>
      <c r="T19" s="47"/>
    </row>
    <row r="20" spans="1:20" x14ac:dyDescent="0.25">
      <c r="A20" s="47"/>
      <c r="B20" s="47"/>
      <c r="C20" s="47"/>
      <c r="D20" s="47"/>
      <c r="E20" s="47"/>
      <c r="F20" s="47"/>
      <c r="G20" s="47"/>
      <c r="H20" s="47"/>
      <c r="I20" s="47"/>
      <c r="J20" s="47"/>
      <c r="K20" s="47"/>
      <c r="L20" s="47"/>
      <c r="M20" s="47"/>
      <c r="N20" s="47"/>
      <c r="O20" s="47"/>
      <c r="P20" s="47"/>
      <c r="Q20" s="47"/>
      <c r="R20" s="47"/>
      <c r="S20" s="47"/>
      <c r="T20" s="47"/>
    </row>
    <row r="21" spans="1:20" x14ac:dyDescent="0.25">
      <c r="A21" s="47"/>
      <c r="B21" s="47"/>
      <c r="C21" s="47"/>
      <c r="D21" s="47"/>
      <c r="E21" s="47"/>
      <c r="F21" s="47"/>
      <c r="G21" s="47"/>
      <c r="H21" s="47"/>
      <c r="I21" s="47"/>
      <c r="J21" s="47"/>
      <c r="K21" s="47"/>
      <c r="L21" s="51"/>
      <c r="M21" s="47"/>
      <c r="N21" s="47"/>
      <c r="O21" s="47"/>
      <c r="P21" s="47"/>
      <c r="Q21" s="47"/>
      <c r="R21" s="47"/>
      <c r="S21" s="47"/>
      <c r="T21" s="47"/>
    </row>
    <row r="22" spans="1:20" x14ac:dyDescent="0.25">
      <c r="A22" s="47"/>
      <c r="B22" s="47"/>
      <c r="C22" s="47"/>
      <c r="D22" s="47"/>
      <c r="E22" s="47"/>
      <c r="F22" s="47"/>
      <c r="G22" s="47"/>
      <c r="H22" s="47"/>
      <c r="I22" s="47"/>
      <c r="J22" s="47"/>
      <c r="K22" s="47"/>
      <c r="L22" s="47"/>
      <c r="M22" s="47"/>
      <c r="N22" s="47"/>
      <c r="O22" s="47"/>
      <c r="P22" s="47"/>
      <c r="Q22" s="47"/>
      <c r="R22" s="47"/>
      <c r="S22" s="47"/>
      <c r="T22" s="47"/>
    </row>
    <row r="23" spans="1:20" x14ac:dyDescent="0.25">
      <c r="A23" s="47"/>
      <c r="B23" s="47"/>
      <c r="C23" s="47"/>
      <c r="D23" s="47"/>
      <c r="E23" s="47"/>
      <c r="F23" s="47"/>
      <c r="G23" s="47"/>
      <c r="H23" s="47"/>
      <c r="I23" s="47"/>
      <c r="J23" s="47"/>
      <c r="K23" s="47"/>
      <c r="L23" s="47"/>
      <c r="M23" s="47"/>
      <c r="N23" s="47"/>
      <c r="O23" s="47"/>
      <c r="P23" s="47"/>
      <c r="Q23" s="47"/>
      <c r="R23" s="47"/>
      <c r="S23" s="47"/>
      <c r="T23" s="47"/>
    </row>
    <row r="24" spans="1:20" x14ac:dyDescent="0.25">
      <c r="A24" s="47"/>
      <c r="B24" s="47"/>
      <c r="C24" s="47"/>
      <c r="D24" s="47"/>
      <c r="E24" s="47"/>
      <c r="F24" s="47"/>
      <c r="G24" s="47"/>
      <c r="H24" s="47"/>
      <c r="I24" s="47"/>
      <c r="J24" s="47"/>
      <c r="K24" s="47"/>
      <c r="L24" s="47"/>
      <c r="M24" s="47"/>
      <c r="N24" s="47"/>
      <c r="O24" s="47"/>
      <c r="P24" s="47"/>
      <c r="Q24" s="47"/>
      <c r="R24" s="47"/>
      <c r="S24" s="47"/>
      <c r="T24" s="47"/>
    </row>
    <row r="25" spans="1:20" x14ac:dyDescent="0.25">
      <c r="A25" s="47"/>
      <c r="B25" s="47"/>
      <c r="C25" s="47"/>
      <c r="D25" s="47"/>
      <c r="E25" s="47"/>
      <c r="F25" s="47"/>
      <c r="G25" s="47"/>
      <c r="H25" s="47"/>
      <c r="I25" s="47"/>
      <c r="J25" s="47"/>
      <c r="K25" s="47"/>
      <c r="L25" s="47"/>
      <c r="M25" s="47"/>
      <c r="N25" s="47"/>
      <c r="O25" s="47"/>
      <c r="P25" s="47"/>
      <c r="Q25" s="47"/>
      <c r="R25" s="47"/>
      <c r="S25" s="47"/>
      <c r="T25" s="47"/>
    </row>
    <row r="26" spans="1:20" x14ac:dyDescent="0.25">
      <c r="A26" s="47"/>
      <c r="B26" s="47"/>
      <c r="C26" s="47"/>
      <c r="D26" s="47"/>
      <c r="E26" s="47"/>
      <c r="F26" s="47"/>
      <c r="G26" s="47"/>
      <c r="H26" s="47"/>
      <c r="I26" s="47"/>
      <c r="J26" s="47"/>
      <c r="K26" s="47"/>
      <c r="L26" s="47"/>
      <c r="M26" s="47"/>
      <c r="N26" s="47"/>
      <c r="O26" s="47"/>
      <c r="P26" s="47"/>
      <c r="Q26" s="47"/>
      <c r="R26" s="47"/>
      <c r="S26" s="47"/>
      <c r="T26" s="47"/>
    </row>
    <row r="27" spans="1:20" x14ac:dyDescent="0.25">
      <c r="A27" s="47"/>
      <c r="B27" s="47"/>
      <c r="C27" s="47"/>
      <c r="D27" s="47"/>
      <c r="E27" s="47"/>
      <c r="F27" s="47"/>
      <c r="G27" s="47"/>
      <c r="H27" s="47"/>
      <c r="I27" s="47"/>
      <c r="J27" s="48"/>
      <c r="K27" s="47"/>
      <c r="L27" s="47"/>
      <c r="M27" s="47"/>
      <c r="N27" s="47"/>
      <c r="O27" s="47"/>
      <c r="P27" s="47"/>
      <c r="Q27" s="47"/>
      <c r="R27" s="47"/>
      <c r="S27" s="47"/>
      <c r="T27" s="47"/>
    </row>
    <row r="28" spans="1:20" x14ac:dyDescent="0.25">
      <c r="A28" s="47"/>
      <c r="B28" s="47"/>
      <c r="C28" s="47"/>
      <c r="D28" s="47"/>
      <c r="E28" s="47"/>
      <c r="F28" s="47"/>
      <c r="G28" s="47"/>
      <c r="H28" s="47"/>
      <c r="I28" s="47"/>
      <c r="J28" s="47"/>
      <c r="K28" s="47"/>
      <c r="L28" s="47"/>
      <c r="M28" s="47"/>
      <c r="N28" s="47"/>
      <c r="O28" s="47"/>
      <c r="P28" s="47"/>
      <c r="Q28" s="47"/>
      <c r="R28" s="47"/>
      <c r="S28" s="47"/>
      <c r="T28" s="47"/>
    </row>
    <row r="29" spans="1:20" x14ac:dyDescent="0.25">
      <c r="A29" s="47"/>
      <c r="B29" s="47"/>
      <c r="C29" s="47"/>
      <c r="D29" s="47"/>
      <c r="E29" s="47"/>
      <c r="F29" s="47"/>
      <c r="G29" s="47"/>
      <c r="H29" s="47"/>
      <c r="I29" s="47"/>
      <c r="J29" s="47"/>
      <c r="K29" s="47"/>
      <c r="L29" s="47"/>
      <c r="M29" s="47"/>
      <c r="N29" s="47"/>
      <c r="O29" s="47"/>
      <c r="P29" s="47"/>
      <c r="Q29" s="47"/>
      <c r="R29" s="47"/>
      <c r="S29" s="47"/>
      <c r="T29" s="47"/>
    </row>
    <row r="30" spans="1:20" x14ac:dyDescent="0.25">
      <c r="A30" s="47"/>
      <c r="B30" s="47"/>
      <c r="C30" s="47"/>
      <c r="D30" s="47"/>
      <c r="E30" s="47"/>
      <c r="F30" s="47"/>
      <c r="G30" s="47"/>
      <c r="H30" s="47"/>
      <c r="I30" s="47"/>
      <c r="J30" s="47"/>
      <c r="K30" s="47"/>
      <c r="L30" s="47"/>
      <c r="M30" s="47"/>
      <c r="N30" s="47"/>
      <c r="O30" s="47"/>
      <c r="P30" s="47"/>
      <c r="Q30" s="47"/>
      <c r="R30" s="47"/>
      <c r="S30" s="47"/>
      <c r="T30" s="47"/>
    </row>
    <row r="31" spans="1:20" x14ac:dyDescent="0.25">
      <c r="A31" s="47"/>
      <c r="B31" s="47"/>
      <c r="C31" s="47"/>
      <c r="D31" s="47"/>
      <c r="E31" s="47"/>
      <c r="F31" s="47"/>
      <c r="G31" s="47"/>
      <c r="H31" s="47"/>
      <c r="I31" s="47"/>
      <c r="J31" s="47"/>
      <c r="K31" s="47"/>
      <c r="L31" s="47"/>
      <c r="M31" s="47"/>
      <c r="N31" s="47"/>
      <c r="O31" s="47"/>
      <c r="P31" s="47"/>
      <c r="Q31" s="47"/>
      <c r="R31" s="47"/>
      <c r="S31" s="47"/>
      <c r="T31" s="47"/>
    </row>
    <row r="32" spans="1:20" x14ac:dyDescent="0.25">
      <c r="A32" s="47"/>
      <c r="B32" s="47"/>
      <c r="C32" s="47"/>
      <c r="D32" s="47"/>
      <c r="E32" s="47"/>
      <c r="F32" s="47"/>
      <c r="G32" s="47"/>
      <c r="H32" s="47"/>
      <c r="I32" s="47"/>
      <c r="J32" s="47"/>
      <c r="K32" s="47"/>
      <c r="L32" s="47"/>
      <c r="M32" s="47"/>
      <c r="N32" s="47"/>
      <c r="O32" s="47"/>
      <c r="P32" s="47"/>
      <c r="Q32" s="47"/>
      <c r="R32" s="47"/>
      <c r="S32" s="47"/>
      <c r="T32" s="47"/>
    </row>
    <row r="33" spans="1:20" x14ac:dyDescent="0.25">
      <c r="A33" s="47"/>
      <c r="B33" s="47"/>
      <c r="C33" s="47"/>
      <c r="D33" s="47"/>
      <c r="E33" s="47"/>
      <c r="F33" s="47"/>
      <c r="G33" s="47"/>
      <c r="H33" s="47"/>
      <c r="I33" s="47"/>
      <c r="J33" s="47"/>
      <c r="K33" s="47"/>
      <c r="L33" s="47"/>
      <c r="M33" s="47"/>
      <c r="N33" s="47"/>
      <c r="O33" s="47"/>
      <c r="P33" s="47"/>
      <c r="Q33" s="47"/>
      <c r="R33" s="47"/>
      <c r="S33" s="47"/>
      <c r="T33" s="47"/>
    </row>
    <row r="34" spans="1:20" x14ac:dyDescent="0.25">
      <c r="A34" s="47"/>
      <c r="B34" s="47"/>
      <c r="C34" s="47"/>
      <c r="D34" s="47"/>
      <c r="E34" s="47"/>
      <c r="F34" s="47"/>
      <c r="G34" s="47"/>
      <c r="H34" s="47"/>
      <c r="I34" s="47"/>
      <c r="J34" s="47"/>
      <c r="K34" s="47"/>
      <c r="L34" s="47"/>
      <c r="M34" s="47"/>
      <c r="N34" s="47"/>
      <c r="O34" s="47"/>
      <c r="P34" s="47"/>
      <c r="Q34" s="47"/>
      <c r="R34" s="47"/>
      <c r="S34" s="47"/>
      <c r="T34" s="47"/>
    </row>
    <row r="35" spans="1:20" x14ac:dyDescent="0.25">
      <c r="A35" s="47"/>
      <c r="B35" s="47"/>
      <c r="C35" s="47"/>
      <c r="D35" s="47"/>
      <c r="E35" s="47"/>
      <c r="F35" s="47"/>
      <c r="G35" s="47"/>
      <c r="H35" s="47"/>
      <c r="I35" s="47"/>
      <c r="J35" s="47"/>
      <c r="K35" s="47"/>
      <c r="L35" s="47"/>
      <c r="M35" s="47"/>
      <c r="N35" s="47"/>
      <c r="O35" s="47"/>
      <c r="P35" s="47"/>
      <c r="Q35" s="47"/>
      <c r="R35" s="47"/>
      <c r="S35" s="47"/>
      <c r="T35" s="47"/>
    </row>
    <row r="36" spans="1:20" x14ac:dyDescent="0.25">
      <c r="A36" s="47"/>
      <c r="B36" s="47"/>
      <c r="C36" s="47"/>
      <c r="D36" s="47"/>
      <c r="E36" s="47"/>
      <c r="F36" s="47"/>
      <c r="G36" s="47"/>
      <c r="H36" s="47"/>
      <c r="I36" s="47"/>
      <c r="J36" s="47"/>
      <c r="K36" s="47"/>
      <c r="L36" s="47"/>
      <c r="M36" s="47"/>
      <c r="N36" s="47"/>
      <c r="O36" s="47"/>
      <c r="P36" s="47"/>
      <c r="Q36" s="47"/>
      <c r="R36" s="47"/>
      <c r="S36" s="47"/>
      <c r="T36" s="47"/>
    </row>
    <row r="37" spans="1:20" x14ac:dyDescent="0.25">
      <c r="A37" s="47"/>
      <c r="B37" s="47"/>
      <c r="C37" s="47"/>
      <c r="D37" s="47"/>
      <c r="E37" s="47"/>
      <c r="F37" s="47"/>
      <c r="G37" s="47"/>
      <c r="H37" s="47"/>
      <c r="I37" s="47"/>
      <c r="J37" s="47"/>
      <c r="K37" s="47"/>
      <c r="L37" s="47"/>
      <c r="M37" s="47"/>
      <c r="N37" s="47"/>
      <c r="O37" s="47"/>
      <c r="P37" s="47"/>
      <c r="Q37" s="47"/>
      <c r="R37" s="47"/>
      <c r="S37" s="47"/>
      <c r="T37" s="47"/>
    </row>
    <row r="38" spans="1:20" x14ac:dyDescent="0.25">
      <c r="A38" s="47"/>
      <c r="B38" s="47"/>
      <c r="C38" s="47"/>
      <c r="D38" s="47"/>
      <c r="E38" s="47"/>
      <c r="F38" s="47"/>
      <c r="G38" s="47"/>
      <c r="H38" s="47"/>
      <c r="I38" s="47"/>
      <c r="J38" s="47"/>
      <c r="K38" s="47"/>
      <c r="L38" s="47"/>
      <c r="M38" s="47"/>
      <c r="N38" s="47"/>
      <c r="O38" s="47"/>
      <c r="P38" s="47"/>
      <c r="Q38" s="47"/>
      <c r="R38" s="47"/>
      <c r="S38" s="47"/>
      <c r="T38" s="47"/>
    </row>
    <row r="39" spans="1:20" x14ac:dyDescent="0.25">
      <c r="A39" s="47"/>
      <c r="B39" s="47"/>
      <c r="C39" s="47"/>
      <c r="D39" s="47"/>
      <c r="E39" s="47"/>
      <c r="F39" s="47"/>
      <c r="G39" s="47"/>
      <c r="H39" s="47"/>
      <c r="I39" s="47"/>
      <c r="J39" s="47"/>
      <c r="K39" s="47"/>
      <c r="L39" s="47"/>
      <c r="M39" s="47"/>
      <c r="N39" s="47"/>
      <c r="O39" s="47"/>
      <c r="P39" s="47"/>
      <c r="Q39" s="47"/>
      <c r="R39" s="47"/>
      <c r="S39" s="47"/>
      <c r="T39" s="47"/>
    </row>
    <row r="40" spans="1:20" x14ac:dyDescent="0.25">
      <c r="A40" s="47"/>
      <c r="B40" s="47"/>
      <c r="C40" s="47"/>
      <c r="D40" s="47"/>
      <c r="E40" s="47"/>
      <c r="F40" s="47"/>
      <c r="G40" s="47"/>
      <c r="H40" s="47"/>
      <c r="I40" s="47"/>
      <c r="J40" s="47"/>
      <c r="K40" s="47"/>
      <c r="L40" s="47"/>
      <c r="M40" s="47"/>
      <c r="N40" s="47"/>
      <c r="O40" s="47"/>
      <c r="P40" s="47"/>
      <c r="Q40" s="47"/>
      <c r="R40" s="47"/>
      <c r="S40" s="47"/>
      <c r="T40" s="47"/>
    </row>
    <row r="41" spans="1:20" x14ac:dyDescent="0.25">
      <c r="A41" s="47"/>
      <c r="B41" s="47"/>
      <c r="C41" s="47"/>
      <c r="D41" s="47"/>
      <c r="E41" s="47"/>
      <c r="F41" s="47"/>
      <c r="G41" s="47"/>
      <c r="H41" s="47"/>
      <c r="I41" s="47"/>
      <c r="J41" s="47"/>
      <c r="K41" s="47"/>
      <c r="L41" s="47"/>
      <c r="M41" s="47"/>
      <c r="N41" s="47"/>
      <c r="O41" s="47"/>
      <c r="P41" s="47"/>
      <c r="Q41" s="47"/>
      <c r="R41" s="47"/>
      <c r="S41" s="47"/>
      <c r="T41" s="47"/>
    </row>
    <row r="42" spans="1:20" x14ac:dyDescent="0.25">
      <c r="A42" s="47"/>
      <c r="B42" s="47"/>
      <c r="C42" s="47"/>
      <c r="D42" s="47"/>
      <c r="E42" s="47"/>
      <c r="F42" s="47"/>
      <c r="G42" s="47"/>
      <c r="H42" s="47"/>
      <c r="I42" s="47"/>
      <c r="J42" s="47"/>
      <c r="K42" s="47"/>
      <c r="L42" s="47"/>
      <c r="M42" s="47"/>
      <c r="N42" s="47"/>
      <c r="O42" s="47"/>
      <c r="P42" s="47"/>
      <c r="Q42" s="47"/>
      <c r="R42" s="47"/>
      <c r="S42" s="47"/>
      <c r="T42" s="47"/>
    </row>
    <row r="43" spans="1:20" x14ac:dyDescent="0.25">
      <c r="A43" s="47"/>
      <c r="B43" s="47"/>
      <c r="C43" s="47"/>
      <c r="D43" s="47"/>
      <c r="E43" s="47"/>
      <c r="F43" s="47"/>
      <c r="G43" s="47"/>
      <c r="H43" s="47"/>
      <c r="I43" s="47"/>
      <c r="J43" s="47"/>
      <c r="K43" s="47"/>
      <c r="L43" s="47"/>
      <c r="M43" s="47"/>
      <c r="N43" s="47"/>
      <c r="O43" s="47"/>
      <c r="P43" s="47"/>
      <c r="Q43" s="47"/>
      <c r="R43" s="47"/>
      <c r="S43" s="47"/>
      <c r="T43" s="47"/>
    </row>
    <row r="44" spans="1:20" x14ac:dyDescent="0.25">
      <c r="A44" s="47"/>
      <c r="B44" s="47"/>
      <c r="C44" s="47"/>
      <c r="D44" s="47"/>
      <c r="E44" s="47"/>
      <c r="F44" s="47"/>
      <c r="G44" s="47"/>
      <c r="H44" s="47"/>
      <c r="I44" s="47"/>
      <c r="J44" s="47"/>
      <c r="K44" s="47"/>
      <c r="L44" s="47"/>
      <c r="M44" s="47"/>
      <c r="N44" s="47"/>
      <c r="O44" s="47"/>
      <c r="P44" s="47"/>
      <c r="Q44" s="47"/>
      <c r="R44" s="47"/>
      <c r="S44" s="47"/>
      <c r="T44" s="47"/>
    </row>
    <row r="45" spans="1:20" x14ac:dyDescent="0.25">
      <c r="A45" s="47"/>
      <c r="B45" s="47"/>
      <c r="C45" s="47"/>
      <c r="D45" s="47"/>
      <c r="E45" s="47"/>
      <c r="F45" s="47"/>
      <c r="G45" s="47"/>
      <c r="H45" s="47"/>
      <c r="I45" s="47"/>
      <c r="J45" s="47"/>
      <c r="K45" s="47"/>
      <c r="L45" s="47"/>
      <c r="M45" s="47"/>
      <c r="N45" s="47"/>
      <c r="O45" s="47"/>
      <c r="P45" s="47"/>
      <c r="Q45" s="47"/>
      <c r="R45" s="47"/>
      <c r="S45" s="47"/>
      <c r="T45" s="47"/>
    </row>
    <row r="46" spans="1:20" x14ac:dyDescent="0.25">
      <c r="A46" s="47"/>
      <c r="B46" s="47"/>
      <c r="C46" s="47"/>
      <c r="D46" s="47"/>
      <c r="E46" s="47"/>
      <c r="F46" s="47"/>
      <c r="G46" s="47"/>
      <c r="H46" s="47"/>
      <c r="I46" s="47"/>
      <c r="J46" s="47"/>
      <c r="K46" s="47"/>
      <c r="L46" s="47"/>
      <c r="M46" s="47"/>
      <c r="N46" s="47"/>
      <c r="O46" s="47"/>
      <c r="P46" s="47"/>
      <c r="Q46" s="47"/>
      <c r="R46" s="47"/>
      <c r="S46" s="47"/>
      <c r="T46" s="47"/>
    </row>
    <row r="47" spans="1:20" x14ac:dyDescent="0.25">
      <c r="A47" s="47"/>
      <c r="B47" s="47"/>
      <c r="C47" s="47"/>
      <c r="D47" s="47"/>
      <c r="E47" s="47"/>
      <c r="F47" s="47"/>
      <c r="G47" s="47"/>
      <c r="H47" s="47"/>
      <c r="I47" s="47"/>
      <c r="J47" s="47"/>
      <c r="K47" s="47"/>
      <c r="L47" s="47"/>
      <c r="M47" s="47"/>
      <c r="N47" s="47"/>
      <c r="O47" s="47"/>
      <c r="P47" s="47"/>
      <c r="Q47" s="47"/>
      <c r="R47" s="47"/>
      <c r="S47" s="47"/>
      <c r="T47" s="47"/>
    </row>
    <row r="48" spans="1:20" x14ac:dyDescent="0.25">
      <c r="A48" s="47"/>
      <c r="B48" s="47"/>
      <c r="C48" s="47"/>
      <c r="D48" s="47"/>
      <c r="E48" s="47"/>
      <c r="F48" s="47"/>
      <c r="G48" s="47"/>
      <c r="H48" s="47"/>
      <c r="I48" s="47"/>
      <c r="J48" s="47"/>
      <c r="K48" s="47"/>
      <c r="L48" s="47"/>
      <c r="M48" s="47"/>
      <c r="N48" s="47"/>
      <c r="O48" s="47"/>
      <c r="P48" s="47"/>
      <c r="Q48" s="47"/>
      <c r="R48" s="47"/>
      <c r="S48" s="47"/>
      <c r="T48" s="47"/>
    </row>
    <row r="49" spans="1:20" x14ac:dyDescent="0.25">
      <c r="A49" s="47"/>
      <c r="B49" s="47"/>
      <c r="C49" s="47"/>
      <c r="D49" s="47"/>
      <c r="E49" s="47"/>
      <c r="F49" s="47"/>
      <c r="G49" s="47"/>
      <c r="H49" s="47"/>
      <c r="I49" s="47"/>
      <c r="J49" s="47"/>
      <c r="K49" s="47"/>
      <c r="L49" s="47"/>
      <c r="M49" s="47"/>
      <c r="N49" s="47"/>
      <c r="O49" s="47"/>
      <c r="P49" s="47"/>
      <c r="Q49" s="47"/>
      <c r="R49" s="47"/>
      <c r="S49" s="47"/>
      <c r="T49" s="47"/>
    </row>
    <row r="50" spans="1:20" x14ac:dyDescent="0.25">
      <c r="A50" s="47"/>
      <c r="B50" s="47"/>
      <c r="C50" s="47"/>
      <c r="D50" s="47"/>
      <c r="E50" s="47"/>
      <c r="F50" s="47"/>
      <c r="G50" s="47"/>
      <c r="H50" s="47"/>
      <c r="I50" s="47"/>
      <c r="J50" s="47"/>
      <c r="K50" s="47"/>
      <c r="L50" s="47"/>
      <c r="M50" s="47"/>
      <c r="N50" s="47"/>
      <c r="O50" s="47"/>
      <c r="P50" s="47"/>
      <c r="Q50" s="47"/>
      <c r="R50" s="47"/>
      <c r="S50" s="47"/>
      <c r="T50" s="47"/>
    </row>
    <row r="51" spans="1:20" x14ac:dyDescent="0.25">
      <c r="A51" s="47"/>
      <c r="B51" s="47"/>
      <c r="C51" s="47"/>
      <c r="D51" s="47"/>
      <c r="E51" s="47"/>
      <c r="F51" s="47"/>
      <c r="G51" s="47"/>
      <c r="H51" s="47"/>
      <c r="I51" s="47"/>
      <c r="J51" s="47"/>
      <c r="K51" s="47"/>
      <c r="L51" s="47"/>
      <c r="M51" s="47"/>
      <c r="N51" s="47"/>
      <c r="O51" s="47"/>
      <c r="P51" s="47"/>
      <c r="Q51" s="47"/>
      <c r="R51" s="47"/>
      <c r="S51" s="47"/>
      <c r="T51" s="47"/>
    </row>
    <row r="52" spans="1:20" x14ac:dyDescent="0.25">
      <c r="A52" s="47"/>
      <c r="B52" s="47"/>
      <c r="C52" s="47"/>
      <c r="D52" s="47"/>
      <c r="E52" s="47"/>
      <c r="F52" s="47"/>
      <c r="G52" s="47"/>
      <c r="H52" s="47"/>
      <c r="I52" s="47"/>
      <c r="J52" s="47"/>
      <c r="K52" s="47"/>
      <c r="L52" s="47"/>
      <c r="M52" s="47"/>
      <c r="N52" s="47"/>
      <c r="O52" s="47"/>
      <c r="P52" s="47"/>
      <c r="Q52" s="47"/>
      <c r="R52" s="47"/>
      <c r="S52" s="47"/>
      <c r="T52" s="47"/>
    </row>
    <row r="53" spans="1:20" x14ac:dyDescent="0.25">
      <c r="A53" s="47"/>
      <c r="B53" s="47"/>
      <c r="C53" s="47"/>
      <c r="D53" s="47"/>
      <c r="E53" s="47"/>
      <c r="F53" s="47"/>
      <c r="G53" s="47"/>
      <c r="H53" s="47"/>
      <c r="I53" s="47"/>
      <c r="J53" s="47"/>
      <c r="K53" s="47"/>
      <c r="L53" s="47"/>
      <c r="M53" s="47"/>
      <c r="N53" s="47"/>
      <c r="O53" s="47"/>
      <c r="P53" s="47"/>
      <c r="Q53" s="47"/>
      <c r="R53" s="47"/>
      <c r="S53" s="47"/>
      <c r="T53" s="47"/>
    </row>
    <row r="54" spans="1:20" x14ac:dyDescent="0.25">
      <c r="A54" s="47"/>
      <c r="B54" s="47"/>
      <c r="C54" s="47"/>
      <c r="D54" s="47"/>
      <c r="E54" s="47"/>
      <c r="F54" s="47"/>
      <c r="G54" s="47"/>
      <c r="H54" s="47"/>
      <c r="I54" s="47"/>
      <c r="J54" s="47"/>
      <c r="K54" s="47"/>
      <c r="L54" s="47"/>
      <c r="M54" s="47"/>
      <c r="N54" s="47"/>
      <c r="O54" s="47"/>
      <c r="P54" s="47"/>
      <c r="Q54" s="47"/>
      <c r="R54" s="47"/>
      <c r="S54" s="47"/>
      <c r="T54" s="47"/>
    </row>
    <row r="55" spans="1:20" x14ac:dyDescent="0.25">
      <c r="A55" s="47"/>
      <c r="B55" s="47"/>
      <c r="C55" s="47"/>
      <c r="D55" s="47"/>
      <c r="E55" s="47"/>
      <c r="F55" s="47"/>
      <c r="G55" s="47"/>
      <c r="H55" s="47"/>
      <c r="I55" s="47"/>
      <c r="J55" s="47"/>
      <c r="K55" s="47"/>
      <c r="L55" s="47"/>
      <c r="M55" s="47"/>
      <c r="N55" s="47"/>
      <c r="O55" s="47"/>
      <c r="P55" s="47"/>
      <c r="Q55" s="47"/>
      <c r="R55" s="47"/>
      <c r="S55" s="47"/>
      <c r="T55" s="47"/>
    </row>
    <row r="59" spans="1:20" x14ac:dyDescent="0.25">
      <c r="T59" s="31"/>
    </row>
    <row r="60" spans="1:20" x14ac:dyDescent="0.25">
      <c r="T60" s="31"/>
    </row>
    <row r="61" spans="1:20" x14ac:dyDescent="0.25">
      <c r="T61" s="31"/>
    </row>
  </sheetData>
  <sheetProtection sheet="1" objects="1" scenarios="1" selectLockedCells="1" selectUnlockedCells="1"/>
  <conditionalFormatting sqref="X2">
    <cfRule type="cellIs" dxfId="5" priority="25" operator="lessThan">
      <formula>0</formula>
    </cfRule>
    <cfRule type="cellIs" dxfId="4" priority="26" operator="greaterThanOrEqual">
      <formula>0</formula>
    </cfRule>
  </conditionalFormatting>
  <conditionalFormatting sqref="AA11">
    <cfRule type="cellIs" dxfId="3" priority="1" operator="lessThan">
      <formula>0</formula>
    </cfRule>
    <cfRule type="cellIs" dxfId="2" priority="2" operator="greaterThanOrEqual">
      <formula>0</formula>
    </cfRule>
  </conditionalFormatting>
  <pageMargins left="0.7" right="0.7" top="0.75" bottom="0.75" header="0.3" footer="0.3"/>
  <pageSetup paperSize="9" scale="5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5A528-2C4C-42E3-AFBB-BC1A335F721C}">
  <sheetPr codeName="Projections">
    <tabColor rgb="FF8ED6C9"/>
    <pageSetUpPr fitToPage="1"/>
  </sheetPr>
  <dimension ref="A1:X61"/>
  <sheetViews>
    <sheetView showGridLines="0" zoomScale="80" zoomScaleNormal="80" workbookViewId="0">
      <selection activeCell="U30" sqref="U30"/>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4" x14ac:dyDescent="0.25">
      <c r="A1" s="87"/>
      <c r="B1" s="87"/>
      <c r="C1" s="87"/>
      <c r="D1" s="87"/>
      <c r="E1" s="87"/>
      <c r="F1" s="87"/>
      <c r="G1" s="87"/>
      <c r="H1" s="87"/>
      <c r="I1" s="87"/>
      <c r="J1" s="87"/>
      <c r="K1" s="87"/>
      <c r="L1" s="87"/>
      <c r="M1" s="87"/>
      <c r="N1" s="87"/>
      <c r="O1" s="87"/>
      <c r="P1" s="87"/>
      <c r="Q1" s="87"/>
      <c r="R1" s="87"/>
      <c r="S1" s="87"/>
      <c r="T1" s="87"/>
    </row>
    <row r="2" spans="1:24" ht="18.75" x14ac:dyDescent="0.3">
      <c r="A2" s="87"/>
      <c r="B2" s="87"/>
      <c r="C2" s="87"/>
      <c r="D2" s="87"/>
      <c r="E2" s="87"/>
      <c r="F2" s="87"/>
      <c r="G2" s="87"/>
      <c r="H2" s="87"/>
      <c r="I2" s="87"/>
      <c r="J2" s="87"/>
      <c r="K2" s="87"/>
      <c r="L2" s="87"/>
      <c r="M2" s="87"/>
      <c r="N2" s="87"/>
      <c r="O2" s="87"/>
      <c r="P2" s="87"/>
      <c r="Q2" s="87"/>
      <c r="R2" s="87"/>
      <c r="S2" s="87"/>
      <c r="T2" s="87"/>
      <c r="X2" s="56"/>
    </row>
    <row r="3" spans="1:24" x14ac:dyDescent="0.25">
      <c r="A3" s="87"/>
      <c r="B3" s="87"/>
      <c r="C3" s="87"/>
      <c r="D3" s="87"/>
      <c r="E3" s="87"/>
      <c r="F3" s="87"/>
      <c r="G3" s="87"/>
      <c r="H3" s="87"/>
      <c r="I3" s="87"/>
      <c r="J3" s="87"/>
      <c r="K3" s="87"/>
      <c r="L3" s="87"/>
      <c r="M3" s="87"/>
      <c r="N3" s="87"/>
      <c r="O3" s="87"/>
      <c r="P3" s="87"/>
      <c r="Q3" s="87"/>
      <c r="R3" s="87"/>
      <c r="S3" s="87"/>
      <c r="T3" s="87"/>
    </row>
    <row r="4" spans="1:24" x14ac:dyDescent="0.25">
      <c r="A4" s="87"/>
      <c r="B4" s="87"/>
      <c r="C4" s="87"/>
      <c r="D4" s="87"/>
      <c r="E4" s="87"/>
      <c r="F4" s="87"/>
      <c r="G4" s="87"/>
      <c r="H4" s="87"/>
      <c r="I4" s="87"/>
      <c r="J4" s="87"/>
      <c r="K4" s="87"/>
      <c r="L4" s="87"/>
      <c r="M4" s="87"/>
      <c r="N4" s="87"/>
      <c r="O4" s="87"/>
      <c r="P4" s="87"/>
      <c r="Q4" s="87"/>
      <c r="R4" s="87"/>
      <c r="S4" s="87"/>
      <c r="T4" s="87"/>
    </row>
    <row r="5" spans="1:24" x14ac:dyDescent="0.25">
      <c r="A5" s="87"/>
      <c r="B5" s="87"/>
      <c r="C5" s="87"/>
      <c r="D5" s="87"/>
      <c r="E5" s="87"/>
      <c r="F5" s="87"/>
      <c r="G5" s="87"/>
      <c r="H5" s="87"/>
      <c r="I5" s="87"/>
      <c r="J5" s="87"/>
      <c r="K5" s="87"/>
      <c r="L5" s="87"/>
      <c r="M5" s="87"/>
      <c r="N5" s="87"/>
      <c r="O5" s="87"/>
      <c r="P5" s="87"/>
      <c r="Q5" s="87"/>
      <c r="R5" s="87"/>
      <c r="S5" s="87"/>
      <c r="T5" s="87"/>
    </row>
    <row r="6" spans="1:24" x14ac:dyDescent="0.25">
      <c r="A6" s="87"/>
      <c r="B6" s="87"/>
      <c r="C6" s="87"/>
      <c r="D6" s="87"/>
      <c r="E6" s="87"/>
      <c r="F6" s="87"/>
      <c r="G6" s="87"/>
      <c r="H6" s="87"/>
      <c r="I6" s="87"/>
      <c r="J6" s="87"/>
      <c r="K6" s="87"/>
      <c r="L6" s="87"/>
      <c r="M6" s="87"/>
      <c r="N6" s="87"/>
      <c r="O6" s="87"/>
      <c r="P6" s="87"/>
      <c r="Q6" s="87"/>
      <c r="R6" s="87"/>
      <c r="S6" s="87"/>
      <c r="T6" s="87"/>
    </row>
    <row r="7" spans="1:24" x14ac:dyDescent="0.25">
      <c r="A7" s="87"/>
      <c r="B7" s="87"/>
      <c r="C7" s="87"/>
      <c r="D7" s="87"/>
      <c r="E7" s="87"/>
      <c r="F7" s="87"/>
      <c r="G7" s="87"/>
      <c r="H7" s="87"/>
      <c r="I7" s="87"/>
      <c r="J7" s="87"/>
      <c r="K7" s="87"/>
      <c r="L7" s="87"/>
      <c r="M7" s="87"/>
      <c r="N7" s="87"/>
      <c r="O7" s="87"/>
      <c r="P7" s="87"/>
      <c r="Q7" s="87"/>
      <c r="R7" s="87"/>
      <c r="S7" s="87"/>
      <c r="T7" s="87"/>
    </row>
    <row r="8" spans="1:24" x14ac:dyDescent="0.25">
      <c r="A8" s="87"/>
      <c r="B8" s="87"/>
      <c r="C8" s="87"/>
      <c r="D8" s="87"/>
      <c r="E8" s="87"/>
      <c r="F8" s="87"/>
      <c r="G8" s="87"/>
      <c r="H8" s="87"/>
      <c r="I8" s="87"/>
      <c r="J8" s="87"/>
      <c r="K8" s="87"/>
      <c r="L8" s="87"/>
      <c r="M8" s="87"/>
      <c r="N8" s="87"/>
      <c r="O8" s="87"/>
      <c r="P8" s="87"/>
      <c r="Q8" s="87"/>
      <c r="R8" s="87"/>
      <c r="S8" s="87"/>
      <c r="T8" s="87"/>
    </row>
    <row r="9" spans="1:24" x14ac:dyDescent="0.25">
      <c r="A9" s="87"/>
      <c r="B9" s="87"/>
      <c r="C9" s="87"/>
      <c r="D9" s="87"/>
      <c r="E9" s="87"/>
      <c r="F9" s="87"/>
      <c r="G9" s="87"/>
      <c r="H9" s="87"/>
      <c r="I9" s="87"/>
      <c r="J9" s="87"/>
      <c r="K9" s="87"/>
      <c r="L9" s="87"/>
      <c r="M9" s="87"/>
      <c r="N9" s="87"/>
      <c r="O9" s="87"/>
      <c r="P9" s="87"/>
      <c r="Q9" s="87"/>
      <c r="R9" s="87"/>
      <c r="S9" s="87"/>
      <c r="T9" s="87"/>
    </row>
    <row r="10" spans="1:24" x14ac:dyDescent="0.25">
      <c r="A10" s="87"/>
      <c r="B10" s="87"/>
      <c r="C10" s="87"/>
      <c r="D10" s="87"/>
      <c r="E10" s="87"/>
      <c r="F10" s="87"/>
      <c r="G10" s="87"/>
      <c r="H10" s="87"/>
      <c r="I10" s="87"/>
      <c r="J10" s="87"/>
      <c r="K10" s="87"/>
      <c r="L10" s="87"/>
      <c r="M10" s="87"/>
      <c r="N10" s="87"/>
      <c r="O10" s="87"/>
      <c r="P10" s="87"/>
      <c r="Q10" s="87"/>
      <c r="R10" s="87"/>
      <c r="S10" s="87"/>
      <c r="T10" s="87"/>
    </row>
    <row r="11" spans="1:24" x14ac:dyDescent="0.25">
      <c r="A11" s="87"/>
      <c r="B11" s="87"/>
      <c r="C11" s="87"/>
      <c r="D11" s="87"/>
      <c r="E11" s="87"/>
      <c r="F11" s="87"/>
      <c r="G11" s="87"/>
      <c r="H11" s="87"/>
      <c r="I11" s="87"/>
      <c r="J11" s="87"/>
      <c r="K11" s="87"/>
      <c r="L11" s="87"/>
      <c r="M11" s="87"/>
      <c r="N11" s="87"/>
      <c r="O11" s="87"/>
      <c r="P11" s="87"/>
      <c r="Q11" s="87"/>
      <c r="R11" s="87"/>
      <c r="S11" s="87"/>
      <c r="T11" s="87"/>
    </row>
    <row r="12" spans="1:24" x14ac:dyDescent="0.25">
      <c r="A12" s="87"/>
      <c r="B12" s="87"/>
      <c r="C12" s="87"/>
      <c r="D12" s="87"/>
      <c r="E12" s="87"/>
      <c r="F12" s="87"/>
      <c r="G12" s="87"/>
      <c r="H12" s="87"/>
      <c r="I12" s="87"/>
      <c r="J12" s="87"/>
      <c r="K12" s="87"/>
      <c r="L12" s="87"/>
      <c r="M12" s="87"/>
      <c r="N12" s="87"/>
      <c r="O12" s="87"/>
      <c r="P12" s="87"/>
      <c r="Q12" s="87"/>
      <c r="R12" s="87"/>
      <c r="S12" s="87"/>
      <c r="T12" s="87"/>
    </row>
    <row r="13" spans="1:24" x14ac:dyDescent="0.25">
      <c r="A13" s="87"/>
      <c r="B13" s="87"/>
      <c r="C13" s="87"/>
      <c r="D13" s="87"/>
      <c r="E13" s="87"/>
      <c r="F13" s="87"/>
      <c r="G13" s="87"/>
      <c r="H13" s="87"/>
      <c r="I13" s="87"/>
      <c r="J13" s="87"/>
      <c r="K13" s="87"/>
      <c r="L13" s="87"/>
      <c r="M13" s="87"/>
      <c r="N13" s="87"/>
      <c r="O13" s="87"/>
      <c r="P13" s="87"/>
      <c r="Q13" s="87"/>
      <c r="R13" s="87"/>
      <c r="S13" s="87"/>
      <c r="T13" s="87"/>
    </row>
    <row r="14" spans="1:24" x14ac:dyDescent="0.25">
      <c r="A14" s="87"/>
      <c r="B14" s="87"/>
      <c r="C14" s="87"/>
      <c r="D14" s="87"/>
      <c r="E14" s="87"/>
      <c r="F14" s="87"/>
      <c r="G14" s="87"/>
      <c r="H14" s="87"/>
      <c r="I14" s="87"/>
      <c r="J14" s="87"/>
      <c r="K14" s="87"/>
      <c r="L14" s="87"/>
      <c r="M14" s="87"/>
      <c r="N14" s="87"/>
      <c r="O14" s="87"/>
      <c r="P14" s="87"/>
      <c r="Q14" s="87"/>
      <c r="R14" s="87"/>
      <c r="S14" s="87"/>
      <c r="T14" s="87"/>
    </row>
    <row r="15" spans="1:24" x14ac:dyDescent="0.25">
      <c r="A15" s="87"/>
      <c r="B15" s="87"/>
      <c r="C15" s="87"/>
      <c r="D15" s="87"/>
      <c r="E15" s="87"/>
      <c r="F15" s="87"/>
      <c r="G15" s="87"/>
      <c r="H15" s="87"/>
      <c r="I15" s="87"/>
      <c r="J15" s="87"/>
      <c r="K15" s="87"/>
      <c r="L15" s="87"/>
      <c r="M15" s="87"/>
      <c r="N15" s="87"/>
      <c r="O15" s="87"/>
      <c r="P15" s="87"/>
      <c r="Q15" s="87"/>
      <c r="R15" s="87"/>
      <c r="S15" s="87"/>
      <c r="T15" s="87"/>
    </row>
    <row r="16" spans="1:24" x14ac:dyDescent="0.25">
      <c r="A16" s="87"/>
      <c r="B16" s="87"/>
      <c r="C16" s="87"/>
      <c r="D16" s="87"/>
      <c r="E16" s="87"/>
      <c r="F16" s="87"/>
      <c r="G16" s="87"/>
      <c r="H16" s="87"/>
      <c r="I16" s="87"/>
      <c r="J16" s="87"/>
      <c r="K16" s="87"/>
      <c r="L16" s="87"/>
      <c r="M16" s="87"/>
      <c r="N16" s="87"/>
      <c r="O16" s="87"/>
      <c r="P16" s="87"/>
      <c r="Q16" s="87"/>
      <c r="R16" s="87"/>
      <c r="S16" s="87"/>
      <c r="T16" s="87"/>
    </row>
    <row r="17" spans="1:21" x14ac:dyDescent="0.25">
      <c r="A17" s="87"/>
      <c r="B17" s="87"/>
      <c r="C17" s="87"/>
      <c r="D17" s="87"/>
      <c r="E17" s="87"/>
      <c r="F17" s="87"/>
      <c r="G17" s="87"/>
      <c r="H17" s="87"/>
      <c r="I17" s="87"/>
      <c r="J17" s="87"/>
      <c r="K17" s="87"/>
      <c r="L17" s="87"/>
      <c r="M17" s="87"/>
      <c r="N17" s="87"/>
      <c r="O17" s="87"/>
      <c r="P17" s="87"/>
      <c r="Q17" s="87"/>
      <c r="R17" s="87"/>
      <c r="S17" s="87"/>
      <c r="T17" s="87"/>
    </row>
    <row r="18" spans="1:21" x14ac:dyDescent="0.25">
      <c r="A18" s="87"/>
      <c r="B18" s="87"/>
      <c r="C18" s="87"/>
      <c r="D18" s="87"/>
      <c r="E18" s="87"/>
      <c r="F18" s="87"/>
      <c r="G18" s="87"/>
      <c r="H18" s="87"/>
      <c r="I18" s="87"/>
      <c r="J18" s="87"/>
      <c r="K18" s="87"/>
      <c r="L18" s="87"/>
      <c r="M18" s="87"/>
      <c r="N18" s="87"/>
      <c r="O18" s="87"/>
      <c r="P18" s="87"/>
      <c r="Q18" s="87"/>
      <c r="R18" s="87"/>
      <c r="S18" s="87"/>
      <c r="T18" s="87"/>
    </row>
    <row r="19" spans="1:21" ht="18.75" customHeight="1" x14ac:dyDescent="0.25">
      <c r="A19" s="87"/>
      <c r="B19" s="87"/>
      <c r="C19" s="87"/>
      <c r="D19" s="87"/>
      <c r="E19" s="87"/>
      <c r="F19" s="87"/>
      <c r="G19" s="87"/>
      <c r="H19" s="87"/>
      <c r="I19" s="87"/>
      <c r="J19" s="87"/>
      <c r="K19" s="87"/>
      <c r="L19" s="87"/>
      <c r="M19" s="87"/>
      <c r="N19" s="87"/>
      <c r="O19" s="87"/>
      <c r="P19" s="87"/>
      <c r="Q19" s="87"/>
      <c r="R19" s="87"/>
      <c r="S19" s="87"/>
      <c r="T19" s="87"/>
    </row>
    <row r="20" spans="1:21" x14ac:dyDescent="0.25">
      <c r="A20" s="87"/>
      <c r="B20" s="87"/>
      <c r="C20" s="87"/>
      <c r="D20" s="87"/>
      <c r="E20" s="87"/>
      <c r="F20" s="87"/>
      <c r="G20" s="87"/>
      <c r="H20" s="87"/>
      <c r="I20" s="87"/>
      <c r="J20" s="87"/>
      <c r="K20" s="87"/>
      <c r="L20" s="87"/>
      <c r="M20" s="87"/>
      <c r="N20" s="87"/>
      <c r="O20" s="87"/>
      <c r="P20" s="87"/>
      <c r="Q20" s="87"/>
      <c r="R20" s="87"/>
      <c r="S20" s="87"/>
      <c r="T20" s="87"/>
      <c r="U20" s="88"/>
    </row>
    <row r="21" spans="1:21" x14ac:dyDescent="0.25">
      <c r="A21" s="87"/>
      <c r="B21" s="87"/>
      <c r="C21" s="87"/>
      <c r="D21" s="87"/>
      <c r="E21" s="87"/>
      <c r="F21" s="87"/>
      <c r="G21" s="87"/>
      <c r="H21" s="87"/>
      <c r="I21" s="87"/>
      <c r="J21" s="87"/>
      <c r="K21" s="87"/>
      <c r="L21" s="87"/>
      <c r="M21" s="87"/>
      <c r="N21" s="87"/>
      <c r="O21" s="87"/>
      <c r="P21" s="87"/>
      <c r="Q21" s="87"/>
      <c r="R21" s="87"/>
      <c r="S21" s="87"/>
      <c r="T21" s="87"/>
      <c r="U21" s="88"/>
    </row>
    <row r="22" spans="1:21" x14ac:dyDescent="0.25">
      <c r="A22" s="87"/>
      <c r="B22" s="87"/>
      <c r="C22" s="87"/>
      <c r="D22" s="87"/>
      <c r="E22" s="87"/>
      <c r="F22" s="87"/>
      <c r="G22" s="87"/>
      <c r="H22" s="87"/>
      <c r="I22" s="87"/>
      <c r="J22" s="87"/>
      <c r="K22" s="87"/>
      <c r="L22" s="87"/>
      <c r="M22" s="87"/>
      <c r="N22" s="87"/>
      <c r="O22" s="87"/>
      <c r="P22" s="87"/>
      <c r="Q22" s="87"/>
      <c r="R22" s="87"/>
      <c r="S22" s="87"/>
      <c r="T22" s="87"/>
      <c r="U22" s="88"/>
    </row>
    <row r="23" spans="1:21" x14ac:dyDescent="0.25">
      <c r="A23" s="87"/>
      <c r="B23" s="87"/>
      <c r="C23" s="87"/>
      <c r="D23" s="87"/>
      <c r="E23" s="87"/>
      <c r="F23" s="87"/>
      <c r="G23" s="87"/>
      <c r="H23" s="87"/>
      <c r="I23" s="87"/>
      <c r="J23" s="87"/>
      <c r="K23" s="87"/>
      <c r="L23" s="87"/>
      <c r="M23" s="87"/>
      <c r="N23" s="87"/>
      <c r="O23" s="87"/>
      <c r="P23" s="87"/>
      <c r="Q23" s="87"/>
      <c r="R23" s="87"/>
      <c r="S23" s="87"/>
      <c r="T23" s="87"/>
      <c r="U23" s="88"/>
    </row>
    <row r="24" spans="1:21" x14ac:dyDescent="0.25">
      <c r="A24" s="87"/>
      <c r="B24" s="87"/>
      <c r="C24" s="87"/>
      <c r="D24" s="87"/>
      <c r="E24" s="87"/>
      <c r="F24" s="87"/>
      <c r="G24" s="87"/>
      <c r="H24" s="87"/>
      <c r="I24" s="87"/>
      <c r="J24" s="87"/>
      <c r="K24" s="87"/>
      <c r="L24" s="87"/>
      <c r="M24" s="87"/>
      <c r="N24" s="87"/>
      <c r="O24" s="87"/>
      <c r="P24" s="87"/>
      <c r="Q24" s="87"/>
      <c r="R24" s="87"/>
      <c r="S24" s="87"/>
      <c r="T24" s="87"/>
      <c r="U24" s="88"/>
    </row>
    <row r="25" spans="1:21" x14ac:dyDescent="0.25">
      <c r="A25" s="87"/>
      <c r="B25" s="87"/>
      <c r="C25" s="87"/>
      <c r="D25" s="87"/>
      <c r="E25" s="87"/>
      <c r="F25" s="87"/>
      <c r="G25" s="87"/>
      <c r="H25" s="87"/>
      <c r="I25" s="87"/>
      <c r="J25" s="87"/>
      <c r="K25" s="87"/>
      <c r="L25" s="87"/>
      <c r="M25" s="87"/>
      <c r="N25" s="87"/>
      <c r="O25" s="87"/>
      <c r="P25" s="87"/>
      <c r="Q25" s="87"/>
      <c r="R25" s="87"/>
      <c r="S25" s="87"/>
      <c r="T25" s="87"/>
      <c r="U25" s="88"/>
    </row>
    <row r="26" spans="1:21" x14ac:dyDescent="0.25">
      <c r="A26" s="87"/>
      <c r="B26" s="87"/>
      <c r="C26" s="87"/>
      <c r="D26" s="87"/>
      <c r="E26" s="87"/>
      <c r="F26" s="87"/>
      <c r="G26" s="87"/>
      <c r="H26" s="87"/>
      <c r="I26" s="87"/>
      <c r="J26" s="87"/>
      <c r="K26" s="87"/>
      <c r="L26" s="87"/>
      <c r="M26" s="87"/>
      <c r="N26" s="87"/>
      <c r="O26" s="87"/>
      <c r="P26" s="87"/>
      <c r="Q26" s="87"/>
      <c r="R26" s="87"/>
      <c r="S26" s="87"/>
      <c r="T26" s="87"/>
      <c r="U26" s="88"/>
    </row>
    <row r="27" spans="1:21" x14ac:dyDescent="0.25">
      <c r="A27" s="87"/>
      <c r="B27" s="87"/>
      <c r="C27" s="87"/>
      <c r="D27" s="87"/>
      <c r="E27" s="87"/>
      <c r="F27" s="87"/>
      <c r="G27" s="87"/>
      <c r="H27" s="87"/>
      <c r="I27" s="87"/>
      <c r="J27" s="87"/>
      <c r="K27" s="87"/>
      <c r="L27" s="87"/>
      <c r="M27" s="87"/>
      <c r="N27" s="87"/>
      <c r="O27" s="87"/>
      <c r="P27" s="87"/>
      <c r="Q27" s="87"/>
      <c r="R27" s="87"/>
      <c r="S27" s="87"/>
      <c r="T27" s="87"/>
      <c r="U27" s="88"/>
    </row>
    <row r="28" spans="1:21" x14ac:dyDescent="0.25">
      <c r="A28" s="87"/>
      <c r="B28" s="87"/>
      <c r="C28" s="87"/>
      <c r="D28" s="87"/>
      <c r="E28" s="87"/>
      <c r="F28" s="87"/>
      <c r="G28" s="87"/>
      <c r="H28" s="87"/>
      <c r="I28" s="87"/>
      <c r="J28" s="87"/>
      <c r="K28" s="87"/>
      <c r="L28" s="87"/>
      <c r="M28" s="87"/>
      <c r="N28" s="87"/>
      <c r="O28" s="87"/>
      <c r="P28" s="87"/>
      <c r="Q28" s="87"/>
      <c r="R28" s="87"/>
      <c r="S28" s="87"/>
      <c r="T28" s="87"/>
      <c r="U28" s="88"/>
    </row>
    <row r="36" spans="1:1" x14ac:dyDescent="0.25">
      <c r="A36" s="87"/>
    </row>
    <row r="37" spans="1:1" x14ac:dyDescent="0.25">
      <c r="A37" s="87"/>
    </row>
    <row r="59" spans="20:20" x14ac:dyDescent="0.25">
      <c r="T59" s="31"/>
    </row>
    <row r="60" spans="20:20" x14ac:dyDescent="0.25">
      <c r="T60" s="31"/>
    </row>
    <row r="61" spans="20:20" x14ac:dyDescent="0.25">
      <c r="T61" s="31"/>
    </row>
  </sheetData>
  <sheetProtection sheet="1" objects="1" scenarios="1" selectLockedCells="1" selectUnlockedCells="1"/>
  <conditionalFormatting sqref="X2">
    <cfRule type="cellIs" dxfId="1" priority="1" operator="lessThan">
      <formula>0</formula>
    </cfRule>
    <cfRule type="cellIs" dxfId="0" priority="2" operator="greaterThanOrEqual">
      <formula>0</formula>
    </cfRule>
  </conditionalFormatting>
  <pageMargins left="0.7" right="0.7" top="0.75" bottom="0.75" header="0.3" footer="0.3"/>
  <pageSetup paperSize="9" scale="46"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2AAC3-45F5-4037-B627-CD425BD9E31F}">
  <sheetPr codeName="Feuil5">
    <tabColor rgb="FFD24726"/>
    <pageSetUpPr fitToPage="1"/>
  </sheetPr>
  <dimension ref="A1:F87"/>
  <sheetViews>
    <sheetView showGridLines="0" zoomScale="115" zoomScaleNormal="115" workbookViewId="0">
      <selection activeCell="D40" sqref="D40"/>
    </sheetView>
  </sheetViews>
  <sheetFormatPr baseColWidth="10" defaultColWidth="11.42578125" defaultRowHeight="20.25" customHeight="1" x14ac:dyDescent="0.25"/>
  <cols>
    <col min="1" max="1" width="54.140625" style="1" bestFit="1" customWidth="1"/>
    <col min="2" max="2" width="29.140625" style="2" bestFit="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x14ac:dyDescent="0.25">
      <c r="A1" s="167" t="s">
        <v>221</v>
      </c>
      <c r="B1" s="167"/>
      <c r="C1" s="1"/>
      <c r="D1" s="1"/>
      <c r="E1" s="1"/>
      <c r="F1" s="1"/>
    </row>
    <row r="2" spans="1:6" s="7" customFormat="1" ht="57" customHeight="1" x14ac:dyDescent="0.25">
      <c r="A2" s="169" t="s">
        <v>15</v>
      </c>
      <c r="B2" s="169"/>
      <c r="C2" s="1"/>
      <c r="D2" s="1"/>
      <c r="E2" s="1"/>
      <c r="F2" s="1"/>
    </row>
    <row r="3" spans="1:6" ht="46.5" customHeight="1" x14ac:dyDescent="0.25">
      <c r="A3" s="170" t="s">
        <v>236</v>
      </c>
      <c r="B3" s="170"/>
    </row>
    <row r="4" spans="1:6" ht="36.950000000000003" customHeight="1" x14ac:dyDescent="0.25">
      <c r="A4" s="168" t="s">
        <v>222</v>
      </c>
      <c r="B4" s="168"/>
    </row>
    <row r="5" spans="1:6" ht="26.25" x14ac:dyDescent="0.25">
      <c r="A5" s="65" t="s">
        <v>224</v>
      </c>
      <c r="B5" s="96">
        <f>'💰 Finances'!E6</f>
        <v>0</v>
      </c>
    </row>
    <row r="6" spans="1:6" ht="15.75" x14ac:dyDescent="0.25">
      <c r="A6" s="1" t="s">
        <v>225</v>
      </c>
      <c r="B6" s="97" t="str">
        <f>TEXT('💰 Finances'!G6,"+ # ##0 €;- # ##0 €;0 €") &amp; " vs N-1"</f>
        <v>0 € vs N-1</v>
      </c>
    </row>
    <row r="7" spans="1:6" ht="26.25" x14ac:dyDescent="0.25">
      <c r="A7" s="61" t="s">
        <v>226</v>
      </c>
      <c r="B7" s="98">
        <f>'💰 Finances'!E24</f>
        <v>0</v>
      </c>
    </row>
    <row r="8" spans="1:6" ht="15.75" x14ac:dyDescent="0.25">
      <c r="A8" s="62" t="s">
        <v>227</v>
      </c>
      <c r="B8" s="99" t="str">
        <f>TEXT('💰 Finances'!G24,"+ # ##0 €;- # ##0 €;0 €") &amp; " vs N-1"</f>
        <v>0 € vs N-1</v>
      </c>
    </row>
    <row r="9" spans="1:6" ht="26.25" x14ac:dyDescent="0.4">
      <c r="A9" s="1" t="s">
        <v>228</v>
      </c>
      <c r="B9" s="100">
        <f>'💰 Finances'!E26</f>
        <v>0</v>
      </c>
    </row>
    <row r="10" spans="1:6" ht="15.75" x14ac:dyDescent="0.25">
      <c r="A10" s="62" t="s">
        <v>229</v>
      </c>
      <c r="B10" s="101" t="str">
        <f>"Objectif : " &amp; TEXT('💰 Finances'!D26,"0%")</f>
        <v>Objectif : 0%</v>
      </c>
    </row>
    <row r="11" spans="1:6" ht="26.25" x14ac:dyDescent="0.25">
      <c r="A11" s="66" t="s">
        <v>230</v>
      </c>
      <c r="B11" s="98">
        <f>'💰 Finances'!E25</f>
        <v>0</v>
      </c>
    </row>
    <row r="12" spans="1:6" ht="15.75" x14ac:dyDescent="0.25">
      <c r="A12" s="64" t="s">
        <v>231</v>
      </c>
      <c r="B12" s="102" t="str">
        <f>TEXT('💰 Finances'!G25,"+ # ##0 €;- # ##0 €;0 €") &amp; " vs N-1"</f>
        <v>0 € vs N-1</v>
      </c>
    </row>
    <row r="13" spans="1:6" ht="26.25" x14ac:dyDescent="0.25">
      <c r="A13" s="67" t="s">
        <v>232</v>
      </c>
      <c r="B13" s="103">
        <f>'💰 Finances'!E28</f>
        <v>0</v>
      </c>
    </row>
    <row r="14" spans="1:6" ht="15.75" x14ac:dyDescent="0.25">
      <c r="A14" s="75" t="s">
        <v>233</v>
      </c>
      <c r="B14" s="104" t="str">
        <f>"Objectif : " &amp; TEXT('💰 Finances'!D28,"0")</f>
        <v>Objectif : 0</v>
      </c>
    </row>
    <row r="15" spans="1:6" ht="26.25" x14ac:dyDescent="0.25">
      <c r="A15" s="67" t="s">
        <v>234</v>
      </c>
      <c r="B15" s="105">
        <f>'💰 Finances'!E27</f>
        <v>0</v>
      </c>
    </row>
    <row r="16" spans="1:6" ht="15.75" x14ac:dyDescent="0.25">
      <c r="A16" s="67" t="s">
        <v>235</v>
      </c>
      <c r="B16" s="110" t="str">
        <f>TEXT('💰 Finances'!G27,"+0,00%;-0,00%;0,00%") &amp; " vs N-1"</f>
        <v>0,00% vs N-1</v>
      </c>
    </row>
    <row r="17" spans="1:3" ht="36.950000000000003" customHeight="1" x14ac:dyDescent="0.25">
      <c r="A17" s="168" t="s">
        <v>223</v>
      </c>
      <c r="B17" s="168"/>
    </row>
    <row r="18" spans="1:3" ht="26.25" x14ac:dyDescent="0.25">
      <c r="A18" s="67" t="s">
        <v>237</v>
      </c>
      <c r="B18" s="96" t="str">
        <f>'🏭 Production'!E4</f>
        <v/>
      </c>
    </row>
    <row r="19" spans="1:3" ht="15.75" x14ac:dyDescent="0.25">
      <c r="A19" s="67" t="s">
        <v>250</v>
      </c>
      <c r="B19" s="104" t="str">
        <f>TEXT('🏭 Production'!F4,"+ # ##0 €;- # ##0 €;0 €") &amp; " vs cible / " &amp; TEXT('🏭 Production'!G4,"+ # ##0 €;- # ##0 €;0 €") &amp; " vs N-1"</f>
        <v xml:space="preserve"> vs cible /  vs N-1</v>
      </c>
    </row>
    <row r="20" spans="1:3" ht="26.25" x14ac:dyDescent="0.25">
      <c r="A20" s="67" t="s">
        <v>238</v>
      </c>
      <c r="B20" s="103">
        <f>'🏭 Production'!E7</f>
        <v>0</v>
      </c>
    </row>
    <row r="21" spans="1:3" ht="15.75" x14ac:dyDescent="0.25">
      <c r="A21" s="67" t="s">
        <v>239</v>
      </c>
      <c r="B21" s="104" t="str">
        <f>TEXT('🏭 Production'!G7,"+0;-0;0") &amp; " vs N-1"</f>
        <v>0 vs N-1</v>
      </c>
    </row>
    <row r="22" spans="1:3" ht="26.25" x14ac:dyDescent="0.25">
      <c r="A22" s="67" t="s">
        <v>240</v>
      </c>
      <c r="B22" s="106">
        <f>'🏭 Production'!E9</f>
        <v>0</v>
      </c>
    </row>
    <row r="23" spans="1:3" ht="15.75" x14ac:dyDescent="0.25">
      <c r="A23" s="67" t="s">
        <v>241</v>
      </c>
      <c r="B23" s="104" t="str">
        <f>"Objectif : " &amp; TEXT('🏭 Production'!D9,"0%")</f>
        <v>Objectif : 0%</v>
      </c>
    </row>
    <row r="24" spans="1:3" ht="26.25" x14ac:dyDescent="0.4">
      <c r="A24" s="67" t="s">
        <v>242</v>
      </c>
      <c r="B24" s="109">
        <f>'🏭 Production'!E11</f>
        <v>0</v>
      </c>
    </row>
    <row r="25" spans="1:3" ht="15.75" x14ac:dyDescent="0.25">
      <c r="A25" s="67" t="s">
        <v>243</v>
      </c>
      <c r="B25" s="102" t="str">
        <f>"Objectif : " &amp; TEXT('🏭 Production'!D11,"0;0;0")</f>
        <v>Objectif : 0</v>
      </c>
    </row>
    <row r="26" spans="1:3" ht="24" customHeight="1" x14ac:dyDescent="0.25">
      <c r="A26" s="67" t="s">
        <v>244</v>
      </c>
      <c r="B26" s="107">
        <f>'🏭 Production'!E14</f>
        <v>0</v>
      </c>
      <c r="C26" s="102"/>
    </row>
    <row r="27" spans="1:3" ht="15.75" x14ac:dyDescent="0.25">
      <c r="A27" s="67" t="s">
        <v>245</v>
      </c>
      <c r="B27" s="102" t="str">
        <f>"Objectif : " &amp; TEXT('🏭 Production'!D14,"0%")</f>
        <v>Objectif : 0%</v>
      </c>
    </row>
    <row r="28" spans="1:3" ht="26.25" x14ac:dyDescent="0.4">
      <c r="A28" s="67" t="s">
        <v>246</v>
      </c>
      <c r="B28" s="109">
        <f>'🏭 Production'!E12</f>
        <v>0</v>
      </c>
    </row>
    <row r="29" spans="1:3" ht="15.75" x14ac:dyDescent="0.25">
      <c r="A29" s="67" t="s">
        <v>247</v>
      </c>
      <c r="B29" s="102" t="str">
        <f>"Objectif : " &amp; TEXT('🏭 Production'!D12,"0;0;0")</f>
        <v>Objectif : 0</v>
      </c>
    </row>
    <row r="30" spans="1:3" ht="26.25" x14ac:dyDescent="0.25">
      <c r="A30" s="67" t="s">
        <v>248</v>
      </c>
      <c r="B30" s="107">
        <f>'🏭 Production'!E13</f>
        <v>0</v>
      </c>
    </row>
    <row r="31" spans="1:3" ht="21" customHeight="1" x14ac:dyDescent="0.25">
      <c r="A31" s="67" t="s">
        <v>249</v>
      </c>
      <c r="B31" s="102" t="str">
        <f>"Objectif : " &amp; TEXT('🏭 Production'!D13,"0%")</f>
        <v>Objectif : 0%</v>
      </c>
    </row>
    <row r="32" spans="1:3" ht="36.950000000000003" customHeight="1" x14ac:dyDescent="0.25">
      <c r="A32" s="168" t="s">
        <v>251</v>
      </c>
      <c r="B32" s="168"/>
    </row>
    <row r="33" spans="1:2" ht="26.25" x14ac:dyDescent="0.25">
      <c r="A33" s="67" t="s">
        <v>252</v>
      </c>
      <c r="B33" s="103">
        <f>'🎓 Pédagogie'!E3</f>
        <v>0</v>
      </c>
    </row>
    <row r="34" spans="1:2" ht="15.75" x14ac:dyDescent="0.25">
      <c r="A34" s="67" t="s">
        <v>253</v>
      </c>
      <c r="B34" s="104" t="str">
        <f>"Objectif : " &amp; TEXT('🎓 Pédagogie'!D3,"+0;-0;0") &amp; " / N-1 : " &amp; TEXT('🎓 Pédagogie'!C3,"+0;-0;0")</f>
        <v>Objectif : 0 / N-1 : 0</v>
      </c>
    </row>
    <row r="35" spans="1:2" ht="26.25" x14ac:dyDescent="0.4">
      <c r="A35" s="67" t="s">
        <v>254</v>
      </c>
      <c r="B35" s="109">
        <f>'🎓 Pédagogie'!D4</f>
        <v>0</v>
      </c>
    </row>
    <row r="36" spans="1:2" ht="15.75" x14ac:dyDescent="0.25">
      <c r="A36" s="67" t="s">
        <v>255</v>
      </c>
      <c r="B36" s="102" t="str">
        <f>"Objectif : " &amp; TEXT('🎓 Pédagogie'!D4,"+0;-0;0") &amp; " / N-1 : " &amp; TEXT('🎓 Pédagogie'!C4,"+0;-0;0")</f>
        <v>Objectif : 0 / N-1 : 0</v>
      </c>
    </row>
    <row r="37" spans="1:2" ht="26.25" x14ac:dyDescent="0.25">
      <c r="A37" s="67" t="s">
        <v>256</v>
      </c>
      <c r="B37" s="96">
        <f>'🎓 Pédagogie'!E11</f>
        <v>0</v>
      </c>
    </row>
    <row r="38" spans="1:2" ht="15.75" x14ac:dyDescent="0.25">
      <c r="A38" s="67" t="s">
        <v>257</v>
      </c>
      <c r="B38" s="104" t="str">
        <f>"N-1 : " &amp; TEXT('🎓 Pédagogie'!C11,"+ # ##0 €;- # ##0 €;0 €")</f>
        <v>N-1 : 0 €</v>
      </c>
    </row>
    <row r="39" spans="1:2" ht="36.950000000000003" customHeight="1" x14ac:dyDescent="0.25">
      <c r="A39" s="166" t="s">
        <v>258</v>
      </c>
      <c r="B39" s="166"/>
    </row>
    <row r="40" spans="1:2" ht="26.25" x14ac:dyDescent="0.25">
      <c r="A40" s="67" t="s">
        <v>259</v>
      </c>
      <c r="B40" s="103">
        <f>'🏛️ Gouvernance'!E4</f>
        <v>0</v>
      </c>
    </row>
    <row r="41" spans="1:2" ht="15.75" x14ac:dyDescent="0.25">
      <c r="A41" s="67" t="s">
        <v>260</v>
      </c>
      <c r="B41" s="104" t="str">
        <f>"Objectif : " &amp; TEXT('🏛️ Gouvernance'!D4,"+0;-0;0") &amp; " / N-1 : " &amp; TEXT('🏛️ Gouvernance'!C4,"+0;-0;0")</f>
        <v>Objectif : 0 / N-1 : 0</v>
      </c>
    </row>
    <row r="42" spans="1:2" ht="26.25" x14ac:dyDescent="0.4">
      <c r="A42" s="67" t="s">
        <v>264</v>
      </c>
      <c r="B42" s="109">
        <f>'🏛️ Gouvernance'!E6</f>
        <v>0</v>
      </c>
    </row>
    <row r="43" spans="1:2" ht="15.75" x14ac:dyDescent="0.25">
      <c r="A43" s="67" t="s">
        <v>261</v>
      </c>
      <c r="B43" s="102" t="str">
        <f>"Objectif : " &amp; TEXT('🏛️ Gouvernance'!D6,"+0;-0;0") &amp; " / N-1 : " &amp; TEXT('🏛️ Gouvernance'!C6,"+0;-0;0")</f>
        <v>Objectif : 0 / N-1 : 0</v>
      </c>
    </row>
    <row r="44" spans="1:2" ht="26.25" x14ac:dyDescent="0.4">
      <c r="A44" s="67" t="s">
        <v>262</v>
      </c>
      <c r="B44" s="109">
        <f>'🏛️ Gouvernance'!E5</f>
        <v>0</v>
      </c>
    </row>
    <row r="45" spans="1:2" ht="15.75" x14ac:dyDescent="0.25">
      <c r="A45" s="67" t="s">
        <v>263</v>
      </c>
      <c r="B45" s="102" t="str">
        <f>"Objectif : " &amp; TEXT('🏛️ Gouvernance'!D5,"+0;-0;0") &amp; " / N-1 : " &amp; TEXT('🏛️ Gouvernance'!C5,"+0;-0;0")</f>
        <v>Objectif : 0 / N-1 : 0</v>
      </c>
    </row>
    <row r="46" spans="1:2" ht="26.25" x14ac:dyDescent="0.25">
      <c r="A46" s="67" t="s">
        <v>265</v>
      </c>
      <c r="B46" s="103">
        <f>('🏛️ Gouvernance'!E8+'🏛️ Gouvernance'!E9)</f>
        <v>0</v>
      </c>
    </row>
    <row r="47" spans="1:2" ht="24" customHeight="1" x14ac:dyDescent="0.25">
      <c r="A47" s="67" t="s">
        <v>266</v>
      </c>
      <c r="B47" s="104" t="str">
        <f>"Objectif : " &amp; TEXT(('🏛️ Gouvernance'!D8+'🏛️ Gouvernance'!D9),"+0;-0;0") &amp; " / N-1 : " &amp; TEXT(('🏛️ Gouvernance'!C8+'🏛️ Gouvernance'!C9),"+0;-0;0")</f>
        <v>Objectif : 0 / N-1 : 0</v>
      </c>
    </row>
    <row r="48" spans="1:2" ht="15.75" x14ac:dyDescent="0.25">
      <c r="A48" s="78"/>
    </row>
    <row r="49" spans="1:1" ht="15.75" x14ac:dyDescent="0.25">
      <c r="A49" s="75"/>
    </row>
    <row r="50" spans="1:1" ht="15.75" x14ac:dyDescent="0.25">
      <c r="A50" s="75"/>
    </row>
    <row r="51" spans="1:1" ht="15.75" x14ac:dyDescent="0.25">
      <c r="A51" s="79"/>
    </row>
    <row r="52" spans="1:1" ht="15.75" x14ac:dyDescent="0.25">
      <c r="A52" s="75"/>
    </row>
    <row r="53" spans="1:1" ht="15.75" x14ac:dyDescent="0.25">
      <c r="A53" s="75"/>
    </row>
    <row r="54" spans="1:1" ht="15.75" x14ac:dyDescent="0.25">
      <c r="A54" s="75"/>
    </row>
    <row r="55" spans="1:1" ht="24" customHeight="1" x14ac:dyDescent="0.25">
      <c r="A55" s="78"/>
    </row>
    <row r="56" spans="1:1" ht="15.75" x14ac:dyDescent="0.25">
      <c r="A56" s="75"/>
    </row>
    <row r="57" spans="1:1" ht="15.75" x14ac:dyDescent="0.25">
      <c r="A57" s="75"/>
    </row>
    <row r="58" spans="1:1" ht="15.75" x14ac:dyDescent="0.25">
      <c r="A58" s="75"/>
    </row>
    <row r="59" spans="1:1" ht="23.1" customHeight="1" x14ac:dyDescent="0.25">
      <c r="A59" s="78"/>
    </row>
    <row r="60" spans="1:1" ht="15.75" x14ac:dyDescent="0.25">
      <c r="A60" s="75"/>
    </row>
    <row r="61" spans="1:1" ht="15.75" x14ac:dyDescent="0.25">
      <c r="A61" s="75"/>
    </row>
    <row r="62" spans="1:1" ht="15.75" x14ac:dyDescent="0.25">
      <c r="A62" s="75"/>
    </row>
    <row r="63" spans="1:1" ht="24" customHeight="1" x14ac:dyDescent="0.25">
      <c r="A63" s="79"/>
    </row>
    <row r="64" spans="1:1" ht="15.75" x14ac:dyDescent="0.25">
      <c r="A64" s="75"/>
    </row>
    <row r="65" spans="1:2" s="83" customFormat="1" ht="15.75" x14ac:dyDescent="0.25">
      <c r="A65" s="82"/>
      <c r="B65" s="108"/>
    </row>
    <row r="66" spans="1:2" ht="15.75" x14ac:dyDescent="0.25">
      <c r="A66" s="75"/>
    </row>
    <row r="67" spans="1:2" ht="20.25" customHeight="1" x14ac:dyDescent="0.25">
      <c r="A67" s="76"/>
    </row>
    <row r="68" spans="1:2" ht="20.25" customHeight="1" x14ac:dyDescent="0.25">
      <c r="A68" s="68"/>
    </row>
    <row r="69" spans="1:2" ht="20.25" customHeight="1" x14ac:dyDescent="0.25">
      <c r="A69" s="68"/>
    </row>
    <row r="70" spans="1:2" ht="20.25" customHeight="1" x14ac:dyDescent="0.25">
      <c r="A70" s="68"/>
    </row>
    <row r="71" spans="1:2" ht="20.25" customHeight="1" x14ac:dyDescent="0.25">
      <c r="A71" s="68"/>
    </row>
    <row r="72" spans="1:2" ht="20.25" customHeight="1" x14ac:dyDescent="0.25">
      <c r="A72" s="68"/>
    </row>
    <row r="73" spans="1:2" ht="20.25" customHeight="1" x14ac:dyDescent="0.25">
      <c r="A73" s="68"/>
    </row>
    <row r="74" spans="1:2" ht="20.25" customHeight="1" x14ac:dyDescent="0.25">
      <c r="A74" s="68"/>
    </row>
    <row r="75" spans="1:2" ht="20.25" customHeight="1" x14ac:dyDescent="0.25">
      <c r="A75" s="68"/>
    </row>
    <row r="76" spans="1:2" ht="20.25" customHeight="1" x14ac:dyDescent="0.25">
      <c r="A76" s="68"/>
    </row>
    <row r="77" spans="1:2" ht="20.25" customHeight="1" x14ac:dyDescent="0.25">
      <c r="A77" s="68"/>
    </row>
    <row r="78" spans="1:2" ht="20.25" customHeight="1" x14ac:dyDescent="0.25">
      <c r="A78" s="68"/>
    </row>
    <row r="79" spans="1:2" ht="20.25" customHeight="1" x14ac:dyDescent="0.25">
      <c r="A79" s="68"/>
    </row>
    <row r="80" spans="1:2" ht="20.25" customHeight="1" x14ac:dyDescent="0.25">
      <c r="A80" s="68"/>
    </row>
    <row r="81" spans="1:1" ht="20.25" customHeight="1" x14ac:dyDescent="0.25">
      <c r="A81" s="68"/>
    </row>
    <row r="82" spans="1:1" ht="20.25" customHeight="1" x14ac:dyDescent="0.25">
      <c r="A82" s="68"/>
    </row>
    <row r="83" spans="1:1" ht="20.25" customHeight="1" x14ac:dyDescent="0.25">
      <c r="A83" s="68"/>
    </row>
    <row r="84" spans="1:1" ht="20.25" customHeight="1" x14ac:dyDescent="0.25">
      <c r="A84" s="68"/>
    </row>
    <row r="85" spans="1:1" ht="20.25" customHeight="1" x14ac:dyDescent="0.25">
      <c r="A85" s="68"/>
    </row>
    <row r="86" spans="1:1" ht="20.25" customHeight="1" x14ac:dyDescent="0.25">
      <c r="A86" s="68"/>
    </row>
    <row r="87" spans="1:1" ht="20.25" customHeight="1" x14ac:dyDescent="0.25">
      <c r="A87" s="68"/>
    </row>
  </sheetData>
  <sheetProtection sheet="1" objects="1" scenarios="1" selectLockedCells="1" selectUnlockedCells="1"/>
  <mergeCells count="7">
    <mergeCell ref="A39:B39"/>
    <mergeCell ref="A1:B1"/>
    <mergeCell ref="A4:B4"/>
    <mergeCell ref="A2:B2"/>
    <mergeCell ref="A3:B3"/>
    <mergeCell ref="A17:B17"/>
    <mergeCell ref="A32:B32"/>
  </mergeCells>
  <printOptions verticalCentered="1"/>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vt:i4>
      </vt:variant>
    </vt:vector>
  </HeadingPairs>
  <TitlesOfParts>
    <vt:vector size="11" baseType="lpstr">
      <vt:lpstr>📘 Notice</vt:lpstr>
      <vt:lpstr>📊 Données comptables</vt:lpstr>
      <vt:lpstr>🗄️BDD</vt:lpstr>
      <vt:lpstr>🏭 Production</vt:lpstr>
      <vt:lpstr>💰 Finances</vt:lpstr>
      <vt:lpstr>🎓 Pédagogie</vt:lpstr>
      <vt:lpstr>🏛️ Gouvernance</vt:lpstr>
      <vt:lpstr>🧾 Synthèse</vt:lpstr>
      <vt:lpstr>📈Projections</vt:lpstr>
      <vt:lpstr>🟧Liaison PowerPoint</vt:lpstr>
      <vt:lpstr>Treso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2025-08-22T04:27:27Z</cp:lastPrinted>
  <dcterms:created xsi:type="dcterms:W3CDTF">2025-06-18T18:57:43Z</dcterms:created>
  <dcterms:modified xsi:type="dcterms:W3CDTF">2025-08-22T18:31:46Z</dcterms:modified>
  <cp:category/>
  <cp:contentStatus/>
</cp:coreProperties>
</file>